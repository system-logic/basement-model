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pecification" sheetId="1" state="visible" r:id="rId1"/>
    <sheet xmlns:r="http://schemas.openxmlformats.org/officeDocument/2006/relationships" name="Cable schedule" sheetId="2" state="visible" r:id="rId2"/>
    <sheet xmlns:r="http://schemas.openxmlformats.org/officeDocument/2006/relationships" name="DB circuits" sheetId="3" state="visible" r:id="rId3"/>
    <sheet xmlns:r="http://schemas.openxmlformats.org/officeDocument/2006/relationships" name="Inputs-output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\ ##0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EFEDE6"/>
        <bgColor rgb="FFE3ECF3"/>
      </patternFill>
    </fill>
    <fill>
      <patternFill patternType="solid">
        <fgColor rgb="FFE3ECF3"/>
        <bgColor rgb="FFEFEDE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4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3" fontId="6" fillId="0" borderId="1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FED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3EC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9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8" customWidth="1" style="11" min="1" max="1"/>
    <col width="9" customWidth="1" style="11" min="2" max="2"/>
    <col width="8" customWidth="1" style="11" min="3" max="3"/>
    <col width="12" customWidth="1" style="11" min="4" max="4"/>
    <col width="13" customWidth="1" style="11" min="5" max="5"/>
    <col width="16" customWidth="1" style="11" min="6" max="6"/>
  </cols>
  <sheetData>
    <row r="1" ht="15" customHeight="1" s="12">
      <c r="A1" s="13" t="inlineStr">
        <is>
          <t>Specification: room 19.6 m² — electrical, lighting, ventilation, automation (10.2026)</t>
        </is>
      </c>
    </row>
    <row r="2" ht="15" customHeight="1" s="12">
      <c r="A2" s="14" t="inlineStr">
        <is>
          <t>How to use: change the quantity (B) and price (D) — totals recalculate. Price basis “estimate” — not verified; empty price — TBC. Prices in US dollars, converted from roubles at the Bank of Russia rate of 83.5588 RUB/USD on 1 October 2026; sums rounded to whole dollars.</t>
        </is>
      </c>
    </row>
    <row r="3" ht="15" customHeight="1" s="12">
      <c r="A3" s="15" t="inlineStr">
        <is>
          <t>Item</t>
        </is>
      </c>
      <c r="B3" s="15" t="inlineStr">
        <is>
          <t>Qty</t>
        </is>
      </c>
      <c r="C3" s="15" t="inlineStr">
        <is>
          <t>Unit</t>
        </is>
      </c>
      <c r="D3" s="15" t="inlineStr">
        <is>
          <t>Price, $</t>
        </is>
      </c>
      <c r="E3" s="15" t="inlineStr">
        <is>
          <t>Sum, $</t>
        </is>
      </c>
      <c r="F3" s="15" t="inlineStr">
        <is>
          <t>Price basis</t>
        </is>
      </c>
    </row>
    <row r="4" ht="15" customHeight="1" s="12">
      <c r="A4" s="16" t="inlineStr">
        <is>
          <t>DB board</t>
        </is>
      </c>
      <c r="B4" s="16" t="n"/>
      <c r="C4" s="16" t="n"/>
      <c r="D4" s="16" t="n"/>
      <c r="E4" s="16" t="n"/>
      <c r="F4" s="16" t="n"/>
    </row>
    <row r="5" ht="15" customHeight="1" s="12">
      <c r="A5" s="17" t="inlineStr">
        <is>
          <t>MCB 6 A 1P, C (QF6, QF7, QF11)</t>
        </is>
      </c>
      <c r="B5" s="17" t="n">
        <v>3</v>
      </c>
      <c r="C5" s="17" t="inlineStr">
        <is>
          <t>pcs</t>
        </is>
      </c>
      <c r="D5" s="23" t="n">
        <v>4.19</v>
      </c>
      <c r="E5" s="24">
        <f>IF(D5="","",ROUND(B5*D5,0))</f>
        <v/>
      </c>
      <c r="F5" s="17" t="inlineStr">
        <is>
          <t>estimate</t>
        </is>
      </c>
    </row>
    <row r="6" ht="15" customHeight="1" s="12">
      <c r="A6" s="17" t="inlineStr">
        <is>
          <t>MCB 10 A 1P, C (QF9, QF10, QF15)</t>
        </is>
      </c>
      <c r="B6" s="17" t="n">
        <v>3</v>
      </c>
      <c r="C6" s="17" t="inlineStr">
        <is>
          <t>pcs</t>
        </is>
      </c>
      <c r="D6" s="23" t="n">
        <v>4.19</v>
      </c>
      <c r="E6" s="24">
        <f>IF(D6="","",ROUND(B6*D6,0))</f>
        <v/>
      </c>
      <c r="F6" s="17" t="inlineStr">
        <is>
          <t>estimate</t>
        </is>
      </c>
    </row>
    <row r="7" ht="15" customHeight="1" s="12">
      <c r="A7" s="17" t="inlineStr">
        <is>
          <t>RCBO 16 A 30 mA type A, 1 module (QFD1, QFD3–QFD6)</t>
        </is>
      </c>
      <c r="B7" s="17" t="n">
        <v>5</v>
      </c>
      <c r="C7" s="17" t="inlineStr">
        <is>
          <t>pcs</t>
        </is>
      </c>
      <c r="D7" s="23" t="n">
        <v>35.9</v>
      </c>
      <c r="E7" s="24">
        <f>IF(D7="","",ROUND(B7*D7,0))</f>
        <v/>
      </c>
      <c r="F7" s="17" t="inlineStr">
        <is>
          <t>estimate</t>
        </is>
      </c>
    </row>
    <row r="8" ht="15" customHeight="1" s="12">
      <c r="A8" s="17" t="inlineStr">
        <is>
          <t>RCBO 10 A 30 mA type A, 1 module (QFD2, bathroom)</t>
        </is>
      </c>
      <c r="B8" s="17" t="n">
        <v>1</v>
      </c>
      <c r="C8" s="17" t="inlineStr">
        <is>
          <t>pcs</t>
        </is>
      </c>
      <c r="D8" s="23" t="n">
        <v>35.9</v>
      </c>
      <c r="E8" s="24">
        <f>IF(D8="","",ROUND(B8*D8,0))</f>
        <v/>
      </c>
      <c r="F8" s="17" t="inlineStr">
        <is>
          <t>estimate</t>
        </is>
      </c>
    </row>
    <row r="9" ht="15" customHeight="1" s="12">
      <c r="A9" s="17" t="inlineStr">
        <is>
          <t>Impulse relay 16 A, 230 V, with status contact (KL1–KL3)</t>
        </is>
      </c>
      <c r="B9" s="17" t="n">
        <v>3</v>
      </c>
      <c r="C9" s="17" t="inlineStr">
        <is>
          <t>pcs</t>
        </is>
      </c>
      <c r="D9" s="23" t="n">
        <v>29.92</v>
      </c>
      <c r="E9" s="24">
        <f>IF(D9="","",ROUND(B9*D9,0))</f>
        <v/>
      </c>
      <c r="F9" s="17" t="inlineStr">
        <is>
          <t>estimate</t>
        </is>
      </c>
    </row>
    <row r="10" ht="15" customHeight="1" s="12">
      <c r="A10" s="17" t="inlineStr">
        <is>
          <t>Interface relay, DIN, 24 V coil (KV1–KV3)</t>
        </is>
      </c>
      <c r="B10" s="17" t="n">
        <v>3</v>
      </c>
      <c r="C10" s="17" t="inlineStr">
        <is>
          <t>pcs</t>
        </is>
      </c>
      <c r="D10" s="23" t="n">
        <v>8.380000000000001</v>
      </c>
      <c r="E10" s="24">
        <f>IF(D10="","",ROUND(B10*D10,0))</f>
        <v/>
      </c>
      <c r="F10" s="17" t="inlineStr">
        <is>
          <t>estimate</t>
        </is>
      </c>
    </row>
    <row r="11" ht="15" customHeight="1" s="12">
      <c r="A11" s="17" t="inlineStr">
        <is>
          <t>Comb busbars/jumpers, terminals, blanks (N/PE busbars come with board)</t>
        </is>
      </c>
      <c r="B11" s="17" t="n">
        <v>1</v>
      </c>
      <c r="C11" s="17" t="inlineStr">
        <is>
          <t>set</t>
        </is>
      </c>
      <c r="D11" s="23" t="n">
        <v>29.92</v>
      </c>
      <c r="E11" s="24">
        <f>IF(D11="","",ROUND(B11*D11,0))</f>
        <v/>
      </c>
      <c r="F11" s="17" t="inlineStr">
        <is>
          <t>estimate</t>
        </is>
      </c>
    </row>
    <row r="12" ht="15" customHeight="1" s="12">
      <c r="A12" s="19" t="inlineStr">
        <is>
          <t>Section subtotal</t>
        </is>
      </c>
      <c r="B12" s="19" t="n"/>
      <c r="C12" s="19" t="n"/>
      <c r="D12" s="19" t="n"/>
      <c r="E12" s="25">
        <f>SUM(E5:E11)</f>
        <v/>
      </c>
      <c r="F12" s="19" t="n"/>
    </row>
    <row r="13" ht="15" customHeight="1" s="12">
      <c r="A13" s="16" t="inlineStr">
        <is>
          <t>Sockets and switches (black)</t>
        </is>
      </c>
      <c r="B13" s="16" t="n"/>
      <c r="C13" s="16" t="n"/>
      <c r="D13" s="16" t="n"/>
      <c r="E13" s="16" t="n"/>
      <c r="F13" s="16" t="n"/>
    </row>
    <row r="14" ht="15" customHeight="1" s="12">
      <c r="A14" s="17" t="inlineStr">
        <is>
          <t>Socket outlet, 4-gang (S1–S5)</t>
        </is>
      </c>
      <c r="B14" s="17" t="n">
        <v>5</v>
      </c>
      <c r="C14" s="17" t="inlineStr">
        <is>
          <t>pcs</t>
        </is>
      </c>
      <c r="D14" s="23" t="n">
        <v>17.95</v>
      </c>
      <c r="E14" s="24">
        <f>IF(D14="","",ROUND(B14*D14,0))</f>
        <v/>
      </c>
      <c r="F14" s="17" t="inlineStr">
        <is>
          <t>estimate</t>
        </is>
      </c>
    </row>
    <row r="15" ht="15" customHeight="1" s="12">
      <c r="A15" s="17" t="inlineStr">
        <is>
          <t>Single socket: AC, kettle, fridge, boiler (IP44)</t>
        </is>
      </c>
      <c r="B15" s="17" t="n">
        <v>4</v>
      </c>
      <c r="C15" s="17" t="inlineStr">
        <is>
          <t>pcs</t>
        </is>
      </c>
      <c r="D15" s="23" t="n">
        <v>4.79</v>
      </c>
      <c r="E15" s="24">
        <f>IF(D15="","",ROUND(B15*D15,0))</f>
        <v/>
      </c>
      <c r="F15" s="17" t="inlineStr">
        <is>
          <t>estimate</t>
        </is>
      </c>
    </row>
    <row r="16" ht="15" customHeight="1" s="12">
      <c r="A16" s="17" t="inlineStr">
        <is>
          <t>Double socket IP44 in bathroom</t>
        </is>
      </c>
      <c r="B16" s="17" t="n">
        <v>1</v>
      </c>
      <c r="C16" s="17" t="inlineStr">
        <is>
          <t>pcs</t>
        </is>
      </c>
      <c r="D16" s="23" t="n">
        <v>14.36</v>
      </c>
      <c r="E16" s="24">
        <f>IF(D16="","",ROUND(B16*D16,0))</f>
        <v/>
      </c>
      <c r="F16" s="17" t="inlineStr">
        <is>
          <t>estimate</t>
        </is>
      </c>
    </row>
    <row r="17" ht="15" customHeight="1" s="12">
      <c r="A17" s="17" t="inlineStr">
        <is>
          <t>Double socket under DB</t>
        </is>
      </c>
      <c r="B17" s="17" t="n">
        <v>1</v>
      </c>
      <c r="C17" s="17" t="inlineStr">
        <is>
          <t>pcs</t>
        </is>
      </c>
      <c r="D17" s="23" t="n">
        <v>9.57</v>
      </c>
      <c r="E17" s="24">
        <f>IF(D17="","",ROUND(B17*D17,0))</f>
        <v/>
      </c>
      <c r="F17" s="17" t="inlineStr">
        <is>
          <t>estimate</t>
        </is>
      </c>
    </row>
    <row r="18" ht="15" customHeight="1" s="12">
      <c r="A18" s="17" t="inlineStr">
        <is>
          <t>Two-key switch SW1 (bathroom)</t>
        </is>
      </c>
      <c r="B18" s="17" t="n">
        <v>1</v>
      </c>
      <c r="C18" s="17" t="inlineStr">
        <is>
          <t>pcs</t>
        </is>
      </c>
      <c r="D18" s="23" t="n">
        <v>7.18</v>
      </c>
      <c r="E18" s="24">
        <f>IF(D18="","",ROUND(B18*D18,0))</f>
        <v/>
      </c>
      <c r="F18" s="17" t="inlineStr">
        <is>
          <t>estimate</t>
        </is>
      </c>
    </row>
    <row r="19" ht="15" customHeight="1" s="12">
      <c r="A19" s="17" t="inlineStr">
        <is>
          <t>Push-button switch, 3 buttons, momentary, SW2</t>
        </is>
      </c>
      <c r="B19" s="17" t="n">
        <v>1</v>
      </c>
      <c r="C19" s="17" t="inlineStr">
        <is>
          <t>pcs</t>
        </is>
      </c>
      <c r="D19" s="23" t="n">
        <v>17.95</v>
      </c>
      <c r="E19" s="24">
        <f>IF(D19="","",ROUND(B19*D19,0))</f>
        <v/>
      </c>
      <c r="F19" s="17" t="inlineStr">
        <is>
          <t>estimate</t>
        </is>
      </c>
    </row>
    <row r="20" ht="15" customHeight="1" s="12">
      <c r="A20" s="19" t="inlineStr">
        <is>
          <t>Section subtotal</t>
        </is>
      </c>
      <c r="B20" s="19" t="n"/>
      <c r="C20" s="19" t="n"/>
      <c r="D20" s="19" t="n"/>
      <c r="E20" s="25">
        <f>SUM(E14:E19)</f>
        <v/>
      </c>
      <c r="F20" s="19" t="n"/>
    </row>
    <row r="21" ht="15" customHeight="1" s="12">
      <c r="A21" s="16" t="inlineStr">
        <is>
          <t>Lighting</t>
        </is>
      </c>
      <c r="B21" s="16" t="n"/>
      <c r="C21" s="16" t="n"/>
      <c r="D21" s="16" t="n"/>
      <c r="E21" s="16" t="n"/>
      <c r="F21" s="16" t="n"/>
    </row>
    <row r="22" ht="15" customHeight="1" s="12">
      <c r="A22" s="17" t="inlineStr">
        <is>
          <t>Surface-mounted single-phase track 2 m, black</t>
        </is>
      </c>
      <c r="B22" s="17" t="n">
        <v>8</v>
      </c>
      <c r="C22" s="17" t="inlineStr">
        <is>
          <t>pcs</t>
        </is>
      </c>
      <c r="D22" s="23" t="n">
        <v>16.54</v>
      </c>
      <c r="E22" s="24">
        <f>IF(D22="","",ROUND(B22*D22,0))</f>
        <v/>
      </c>
      <c r="F22" s="17" t="inlineStr">
        <is>
          <t>estimate</t>
        </is>
      </c>
    </row>
    <row r="23" ht="15" customHeight="1" s="12">
      <c r="A23" s="17" t="inlineStr">
        <is>
          <t>Ritter Artline linear 35 W 4000 K, 607 mm, black</t>
        </is>
      </c>
      <c r="B23" s="17" t="n">
        <v>8</v>
      </c>
      <c r="C23" s="17" t="inlineStr">
        <is>
          <t>pcs</t>
        </is>
      </c>
      <c r="D23" s="23" t="n">
        <v>33.96</v>
      </c>
      <c r="E23" s="24">
        <f>IF(D23="","",ROUND(B23*D23,0))</f>
        <v/>
      </c>
      <c r="F23" s="17" t="inlineStr">
        <is>
          <t>estimate</t>
        </is>
      </c>
    </row>
    <row r="24" ht="15" customHeight="1" s="12">
      <c r="A24" s="17" t="inlineStr">
        <is>
          <t>Volpe ULB-Q276 25 W 3000 K, track spot</t>
        </is>
      </c>
      <c r="B24" s="17" t="n">
        <v>8</v>
      </c>
      <c r="C24" s="17" t="inlineStr">
        <is>
          <t>pcs</t>
        </is>
      </c>
      <c r="D24" s="23" t="n">
        <v>9.93</v>
      </c>
      <c r="E24" s="24">
        <f>IF(D24="","",ROUND(B24*D24,0))</f>
        <v/>
      </c>
      <c r="F24" s="17" t="inlineStr">
        <is>
          <t>estimate</t>
        </is>
      </c>
    </row>
    <row r="25" ht="15" customHeight="1" s="12">
      <c r="A25" s="17" t="inlineStr">
        <is>
          <t>Smartbuy 20 W IP65, black square (entry)</t>
        </is>
      </c>
      <c r="B25" s="17" t="n">
        <v>1</v>
      </c>
      <c r="C25" s="17" t="inlineStr">
        <is>
          <t>pcs</t>
        </is>
      </c>
      <c r="D25" s="23" t="n">
        <v>16.97</v>
      </c>
      <c r="E25" s="24">
        <f>IF(D25="","",ROUND(B25*D25,0))</f>
        <v/>
      </c>
      <c r="F25" s="17" t="inlineStr">
        <is>
          <t>estimate</t>
        </is>
      </c>
    </row>
    <row r="26" ht="15" customHeight="1" s="12">
      <c r="A26" s="17" t="inlineStr">
        <is>
          <t>Feron 51920 24 W IP44, black square (bathroom)</t>
        </is>
      </c>
      <c r="B26" s="17" t="n">
        <v>1</v>
      </c>
      <c r="C26" s="17" t="inlineStr">
        <is>
          <t>pcs</t>
        </is>
      </c>
      <c r="D26" s="23" t="n">
        <v>42.09</v>
      </c>
      <c r="E26" s="24">
        <f>IF(D26="","",ROUND(B26*D26,0))</f>
        <v/>
      </c>
      <c r="F26" s="17" t="inlineStr">
        <is>
          <t>estimate</t>
        </is>
      </c>
    </row>
    <row r="27" ht="15" customHeight="1" s="12">
      <c r="A27" s="17" t="inlineStr">
        <is>
          <t>Above-mirror light IP44 — to be chosen</t>
        </is>
      </c>
      <c r="B27" s="17" t="n">
        <v>1</v>
      </c>
      <c r="C27" s="17" t="inlineStr">
        <is>
          <t>pcs</t>
        </is>
      </c>
      <c r="D27" s="18" t="n"/>
      <c r="E27" s="24">
        <f>IF(D27="","",ROUND(B27*D27,0))</f>
        <v/>
      </c>
      <c r="F27" s="17" t="inlineStr">
        <is>
          <t>TBC</t>
        </is>
      </c>
    </row>
    <row r="28" ht="15" customHeight="1" s="12">
      <c r="A28" s="17" t="inlineStr">
        <is>
          <t>Power feeds, end caps, track connectors</t>
        </is>
      </c>
      <c r="B28" s="17" t="n">
        <v>4</v>
      </c>
      <c r="C28" s="17" t="inlineStr">
        <is>
          <t>set</t>
        </is>
      </c>
      <c r="D28" s="23" t="n">
        <v>4.79</v>
      </c>
      <c r="E28" s="24">
        <f>IF(D28="","",ROUND(B28*D28,0))</f>
        <v/>
      </c>
      <c r="F28" s="17" t="inlineStr">
        <is>
          <t>estimate</t>
        </is>
      </c>
    </row>
    <row r="29" ht="15" customHeight="1" s="12">
      <c r="A29" s="17" t="inlineStr">
        <is>
          <t>Boxes JB1, JB2, bathroom junction box</t>
        </is>
      </c>
      <c r="B29" s="17" t="n">
        <v>3</v>
      </c>
      <c r="C29" s="17" t="inlineStr">
        <is>
          <t>pcs</t>
        </is>
      </c>
      <c r="D29" s="23" t="n">
        <v>3.59</v>
      </c>
      <c r="E29" s="24">
        <f>IF(D29="","",ROUND(B29*D29,0))</f>
        <v/>
      </c>
      <c r="F29" s="17" t="inlineStr">
        <is>
          <t>estimate</t>
        </is>
      </c>
    </row>
    <row r="30" ht="15" customHeight="1" s="12">
      <c r="A30" s="19" t="inlineStr">
        <is>
          <t>Section subtotal</t>
        </is>
      </c>
      <c r="B30" s="19" t="n"/>
      <c r="C30" s="19" t="n"/>
      <c r="D30" s="19" t="n"/>
      <c r="E30" s="25">
        <f>SUM(E22:E29)</f>
        <v/>
      </c>
      <c r="F30" s="19" t="n"/>
    </row>
    <row r="31" ht="15" customHeight="1" s="12">
      <c r="A31" s="16" t="inlineStr">
        <is>
          <t>Cables and conduit</t>
        </is>
      </c>
      <c r="B31" s="16" t="n"/>
      <c r="C31" s="16" t="n"/>
      <c r="D31" s="16" t="n"/>
      <c r="E31" s="16" t="n"/>
      <c r="F31" s="16" t="n"/>
    </row>
    <row r="32" ht="15" customHeight="1" s="12">
      <c r="A32" s="17" t="inlineStr">
        <is>
          <t>Cable VVGng(A)-LS 3×2.5</t>
        </is>
      </c>
      <c r="B32" s="17" t="n">
        <v>95</v>
      </c>
      <c r="C32" s="17" t="inlineStr">
        <is>
          <t>m</t>
        </is>
      </c>
      <c r="D32" s="23" t="n">
        <v>1.32</v>
      </c>
      <c r="E32" s="24">
        <f>IF(D32="","",ROUND(B32*D32,0))</f>
        <v/>
      </c>
      <c r="F32" s="17" t="inlineStr">
        <is>
          <t>estimate</t>
        </is>
      </c>
    </row>
    <row r="33" ht="15" customHeight="1" s="12">
      <c r="A33" s="17" t="inlineStr">
        <is>
          <t>Cable VVGng(A)-LS 3×1.5</t>
        </is>
      </c>
      <c r="B33" s="17" t="n">
        <v>35</v>
      </c>
      <c r="C33" s="17" t="inlineStr">
        <is>
          <t>m</t>
        </is>
      </c>
      <c r="D33" s="23" t="n">
        <v>0.9</v>
      </c>
      <c r="E33" s="24">
        <f>IF(D33="","",ROUND(B33*D33,0))</f>
        <v/>
      </c>
      <c r="F33" s="17" t="inlineStr">
        <is>
          <t>estimate</t>
        </is>
      </c>
    </row>
    <row r="34" ht="15" customHeight="1" s="12">
      <c r="A34" s="17" t="inlineStr">
        <is>
          <t>Cable VVGng(A)-LS 5×1.5 (light: DB → SW2, DB → JB1; heater + thermal cut-out)</t>
        </is>
      </c>
      <c r="B34" s="17" t="n">
        <v>8</v>
      </c>
      <c r="C34" s="17" t="inlineStr">
        <is>
          <t>m</t>
        </is>
      </c>
      <c r="D34" s="23" t="n">
        <v>1.44</v>
      </c>
      <c r="E34" s="24">
        <f>IF(D34="","",ROUND(B34*D34,0))</f>
        <v/>
      </c>
      <c r="F34" s="17" t="inlineStr">
        <is>
          <t>estimate</t>
        </is>
      </c>
    </row>
    <row r="35" ht="15" customHeight="1" s="12">
      <c r="A35" s="17" t="inlineStr">
        <is>
          <t>Twisted pair FTP cat5e (sensors, control)</t>
        </is>
      </c>
      <c r="B35" s="17" t="n">
        <v>50</v>
      </c>
      <c r="C35" s="17" t="inlineStr">
        <is>
          <t>m</t>
        </is>
      </c>
      <c r="D35" s="23" t="n">
        <v>0.48</v>
      </c>
      <c r="E35" s="24">
        <f>IF(D35="","",ROUND(B35*D35,0))</f>
        <v/>
      </c>
      <c r="F35" s="17" t="inlineStr">
        <is>
          <t>estimate</t>
        </is>
      </c>
    </row>
    <row r="36" ht="15" customHeight="1" s="12">
      <c r="A36" s="17" t="inlineStr">
        <is>
          <t>Black PVC conduit Ø16 w/ draw wire (Ural-Pak)</t>
        </is>
      </c>
      <c r="B36" s="17" t="n">
        <v>20</v>
      </c>
      <c r="C36" s="17" t="inlineStr">
        <is>
          <t>m</t>
        </is>
      </c>
      <c r="D36" s="23" t="n">
        <v>0.22</v>
      </c>
      <c r="E36" s="24">
        <f>IF(D36="","",ROUND(B36*D36,0))</f>
        <v/>
      </c>
      <c r="F36" s="17" t="inlineStr">
        <is>
          <t>estimate</t>
        </is>
      </c>
    </row>
    <row r="37" ht="15" customHeight="1" s="12">
      <c r="A37" s="17" t="inlineStr">
        <is>
          <t>Black PVC conduit Ø20 w/ draw wire (Ural-Pak)</t>
        </is>
      </c>
      <c r="B37" s="17" t="n">
        <v>25</v>
      </c>
      <c r="C37" s="17" t="inlineStr">
        <is>
          <t>m</t>
        </is>
      </c>
      <c r="D37" s="23" t="n">
        <v>0.26</v>
      </c>
      <c r="E37" s="24">
        <f>IF(D37="","",ROUND(B37*D37,0))</f>
        <v/>
      </c>
      <c r="F37" s="17" t="inlineStr">
        <is>
          <t>estimate</t>
        </is>
      </c>
    </row>
    <row r="38" ht="15" customHeight="1" s="12">
      <c r="A38" s="17" t="inlineStr">
        <is>
          <t>Black PVC conduit Ø25 w/ draw wire (Ural-Pak)</t>
        </is>
      </c>
      <c r="B38" s="17" t="n">
        <v>100</v>
      </c>
      <c r="C38" s="17" t="inlineStr">
        <is>
          <t>m</t>
        </is>
      </c>
      <c r="D38" s="23" t="n">
        <v>0.34</v>
      </c>
      <c r="E38" s="24">
        <f>IF(D38="","",ROUND(B38*D38,0))</f>
        <v/>
      </c>
      <c r="F38" s="17" t="inlineStr">
        <is>
          <t>estimate</t>
        </is>
      </c>
    </row>
    <row r="39" ht="15" customHeight="1" s="12">
      <c r="A39" s="17" t="inlineStr">
        <is>
          <t>Black PVC conduit Ø32 w/ draw wire (Ural-Pak)</t>
        </is>
      </c>
      <c r="B39" s="17" t="n">
        <v>15</v>
      </c>
      <c r="C39" s="17" t="inlineStr">
        <is>
          <t>m</t>
        </is>
      </c>
      <c r="D39" s="23" t="n">
        <v>0.48</v>
      </c>
      <c r="E39" s="24">
        <f>IF(D39="","",ROUND(B39*D39,0))</f>
        <v/>
      </c>
      <c r="F39" s="17" t="inlineStr">
        <is>
          <t>estimate</t>
        </is>
      </c>
    </row>
    <row r="40" ht="15" customHeight="1" s="12">
      <c r="A40" s="17" t="inlineStr">
        <is>
          <t>Conduit clips Ø16/20/25/32 (35 cm spacing)</t>
        </is>
      </c>
      <c r="B40" s="17" t="n">
        <v>440</v>
      </c>
      <c r="C40" s="17" t="inlineStr">
        <is>
          <t>pcs</t>
        </is>
      </c>
      <c r="D40" s="23" t="n">
        <v>0.07000000000000001</v>
      </c>
      <c r="E40" s="24">
        <f>IF(D40="","",ROUND(B40*D40,0))</f>
        <v/>
      </c>
      <c r="F40" s="17" t="inlineStr">
        <is>
          <t>estimate</t>
        </is>
      </c>
    </row>
    <row r="41" ht="15" customHeight="1" s="12">
      <c r="A41" s="17" t="inlineStr">
        <is>
          <t>Sleeves in bathroom wall, non-combustible sealant</t>
        </is>
      </c>
      <c r="B41" s="17" t="n">
        <v>4</v>
      </c>
      <c r="C41" s="17" t="inlineStr">
        <is>
          <t>pcs</t>
        </is>
      </c>
      <c r="D41" s="23" t="n">
        <v>1.8</v>
      </c>
      <c r="E41" s="24">
        <f>IF(D41="","",ROUND(B41*D41,0))</f>
        <v/>
      </c>
      <c r="F41" s="17" t="inlineStr">
        <is>
          <t>estimate</t>
        </is>
      </c>
    </row>
    <row r="42" ht="15" customHeight="1" s="12">
      <c r="A42" s="19" t="inlineStr">
        <is>
          <t>Section subtotal</t>
        </is>
      </c>
      <c r="B42" s="19" t="n"/>
      <c r="C42" s="19" t="n"/>
      <c r="D42" s="19" t="n"/>
      <c r="E42" s="25">
        <f>SUM(E32:E41)</f>
        <v/>
      </c>
      <c r="F42" s="19" t="n"/>
    </row>
    <row r="43" ht="15" customHeight="1" s="12">
      <c r="A43" s="16" t="inlineStr">
        <is>
          <t>Ventilation</t>
        </is>
      </c>
      <c r="B43" s="16" t="n"/>
      <c r="C43" s="16" t="n"/>
      <c r="D43" s="16" t="n"/>
      <c r="E43" s="16" t="n"/>
      <c r="F43" s="16" t="n"/>
    </row>
    <row r="44" ht="15" customHeight="1" s="12">
      <c r="A44" s="17" t="inlineStr">
        <is>
          <t>Duct fan Vents TT PRO 125 (2 speeds, 240/350 m³/h, 110/150 Pa, 25/30 W)</t>
        </is>
      </c>
      <c r="B44" s="17" t="n">
        <v>3</v>
      </c>
      <c r="C44" s="17" t="inlineStr">
        <is>
          <t>pcs</t>
        </is>
      </c>
      <c r="D44" s="23" t="n">
        <v>89.64</v>
      </c>
      <c r="E44" s="24">
        <f>IF(D44="","",ROUND(B44*D44,0))</f>
        <v/>
      </c>
      <c r="F44" s="17" t="inlineStr">
        <is>
          <t>estimate</t>
        </is>
      </c>
    </row>
    <row r="45" ht="15" customHeight="1" s="12">
      <c r="A45" s="17" t="inlineStr">
        <is>
          <t>Duct heater DVS EKA 125 1ph 1.5 kW (thermal cut-out +50 °C auto / +100 °C manual)</t>
        </is>
      </c>
      <c r="B45" s="17" t="n">
        <v>1</v>
      </c>
      <c r="C45" s="17" t="inlineStr">
        <is>
          <t>pcs</t>
        </is>
      </c>
      <c r="D45" s="23" t="n">
        <v>72.28</v>
      </c>
      <c r="E45" s="24">
        <f>IF(D45="","",ROUND(B45*D45,0))</f>
        <v/>
      </c>
      <c r="F45" s="17" t="inlineStr">
        <is>
          <t>estimate</t>
        </is>
      </c>
    </row>
    <row r="46" ht="15" customHeight="1" s="12">
      <c r="A46" s="17" t="inlineStr">
        <is>
          <t>Duct filter Ø125 with G4 cassette + spare cassette</t>
        </is>
      </c>
      <c r="B46" s="17" t="n">
        <v>1</v>
      </c>
      <c r="C46" s="17" t="inlineStr">
        <is>
          <t>set</t>
        </is>
      </c>
      <c r="D46" s="23" t="n">
        <v>29.92</v>
      </c>
      <c r="E46" s="24">
        <f>IF(D46="","",ROUND(B46*D46,0))</f>
        <v/>
      </c>
      <c r="F46" s="17" t="inlineStr">
        <is>
          <t>estimate</t>
        </is>
      </c>
    </row>
    <row r="47" ht="15" customHeight="1" s="12">
      <c r="A47" s="17" t="inlineStr">
        <is>
          <t>Spring-loaded backdraft damper Ø125</t>
        </is>
      </c>
      <c r="B47" s="17" t="n">
        <v>3</v>
      </c>
      <c r="C47" s="17" t="inlineStr">
        <is>
          <t>pcs</t>
        </is>
      </c>
      <c r="D47" s="23" t="n">
        <v>7.18</v>
      </c>
      <c r="E47" s="24">
        <f>IF(D47="","",ROUND(B47*D47,0))</f>
        <v/>
      </c>
      <c r="F47" s="17" t="inlineStr">
        <is>
          <t>estimate</t>
        </is>
      </c>
    </row>
    <row r="48" ht="15" customHeight="1" s="12">
      <c r="A48" s="17" t="inlineStr">
        <is>
          <t>Iris damper Ø125 (airflow adjustment)</t>
        </is>
      </c>
      <c r="B48" s="17" t="n">
        <v>3</v>
      </c>
      <c r="C48" s="17" t="inlineStr">
        <is>
          <t>pcs</t>
        </is>
      </c>
      <c r="D48" s="23" t="n">
        <v>15.56</v>
      </c>
      <c r="E48" s="24">
        <f>IF(D48="","",ROUND(B48*D48,0))</f>
        <v/>
      </c>
      <c r="F48" s="17" t="inlineStr">
        <is>
          <t>estimate</t>
        </is>
      </c>
    </row>
    <row r="49" ht="15" customHeight="1" s="12">
      <c r="A49" s="17" t="inlineStr">
        <is>
          <t>Flexible connector Vents VVG 125 (vibration isolation, 2 per fan)</t>
        </is>
      </c>
      <c r="B49" s="17" t="n">
        <v>6</v>
      </c>
      <c r="C49" s="17" t="inlineStr">
        <is>
          <t>pcs</t>
        </is>
      </c>
      <c r="D49" s="23" t="n">
        <v>7.18</v>
      </c>
      <c r="E49" s="24">
        <f>IF(D49="","",ROUND(B49*D49,0))</f>
        <v/>
      </c>
      <c r="F49" s="17" t="inlineStr">
        <is>
          <t>estimate</t>
        </is>
      </c>
    </row>
    <row r="50" ht="15" customHeight="1" s="12">
      <c r="A50" s="17" t="inlineStr">
        <is>
          <t>Outdoor grille ALAV 125 (aluminum, angled louvers, mesh)</t>
        </is>
      </c>
      <c r="B50" s="17" t="n">
        <v>2</v>
      </c>
      <c r="C50" s="17" t="inlineStr">
        <is>
          <t>pcs</t>
        </is>
      </c>
      <c r="D50" s="23" t="n">
        <v>4.55</v>
      </c>
      <c r="E50" s="24">
        <f>IF(D50="","",ROUND(B50*D50,0))</f>
        <v/>
      </c>
      <c r="F50" s="17" t="inlineStr">
        <is>
          <t>estimate</t>
        </is>
      </c>
    </row>
    <row r="51" ht="15" customHeight="1" s="12">
      <c r="A51" s="17" t="inlineStr">
        <is>
          <t>Splitter plate between grilles: composite panel 3–4 mm 180×320, black</t>
        </is>
      </c>
      <c r="B51" s="17" t="n">
        <v>1</v>
      </c>
      <c r="C51" s="17" t="inlineStr">
        <is>
          <t>pcs</t>
        </is>
      </c>
      <c r="D51" s="23" t="n">
        <v>5.98</v>
      </c>
      <c r="E51" s="24">
        <f>IF(D51="","",ROUND(B51*D51,0))</f>
        <v/>
      </c>
      <c r="F51" s="17" t="inlineStr">
        <is>
          <t>estimate</t>
        </is>
      </c>
    </row>
    <row r="52" ht="15" customHeight="1" s="12">
      <c r="A52" s="17" t="inlineStr">
        <is>
          <t>Diffuser Rodfer DK-125 ChM (steel, matte black, Ø180, adjustable, magnetic mount)</t>
        </is>
      </c>
      <c r="B52" s="17" t="n">
        <v>5</v>
      </c>
      <c r="C52" s="17" t="inlineStr">
        <is>
          <t>pcs</t>
        </is>
      </c>
      <c r="D52" s="23" t="n">
        <v>19.99</v>
      </c>
      <c r="E52" s="24">
        <f>IF(D52="","",ROUND(B52*D52,0))</f>
        <v/>
      </c>
      <c r="F52" s="17" t="inlineStr">
        <is>
          <t>estimate</t>
        </is>
      </c>
    </row>
    <row r="53" ht="15" customHeight="1" s="12">
      <c r="A53" s="17" t="inlineStr">
        <is>
          <t>Ducts Ø125, bends, tees, clamps, rubber-lined hangers</t>
        </is>
      </c>
      <c r="B53" s="17" t="n">
        <v>1</v>
      </c>
      <c r="C53" s="17" t="inlineStr">
        <is>
          <t>set</t>
        </is>
      </c>
      <c r="D53" s="23" t="n">
        <v>59.84</v>
      </c>
      <c r="E53" s="24">
        <f>IF(D53="","",ROUND(B53*D53,0))</f>
        <v/>
      </c>
      <c r="F53" s="17" t="inlineStr">
        <is>
          <t>estimate</t>
        </is>
      </c>
    </row>
    <row r="54" ht="15" customHeight="1" s="12">
      <c r="A54" s="19" t="inlineStr">
        <is>
          <t>Section subtotal</t>
        </is>
      </c>
      <c r="B54" s="19" t="n"/>
      <c r="C54" s="19" t="n"/>
      <c r="D54" s="19" t="n"/>
      <c r="E54" s="25">
        <f>SUM(E44:E53)</f>
        <v/>
      </c>
      <c r="F54" s="19" t="n"/>
    </row>
    <row r="55" ht="15" customHeight="1" s="12">
      <c r="A55" s="16" t="inlineStr">
        <is>
          <t>Control cabinet CC</t>
        </is>
      </c>
      <c r="B55" s="16" t="n"/>
      <c r="C55" s="16" t="n"/>
      <c r="D55" s="16" t="n"/>
      <c r="E55" s="16" t="n"/>
      <c r="F55" s="16" t="n"/>
    </row>
    <row r="56" ht="15" customHeight="1" s="12">
      <c r="A56" s="17" t="inlineStr">
        <is>
          <t>OWEN PR200-24.4.2.0</t>
        </is>
      </c>
      <c r="B56" s="17" t="n">
        <v>1</v>
      </c>
      <c r="C56" s="17" t="inlineStr">
        <is>
          <t>pcs</t>
        </is>
      </c>
      <c r="D56" s="23" t="n">
        <v>208.79</v>
      </c>
      <c r="E56" s="24">
        <f>IF(D56="","",ROUND(B56*D56,0))</f>
        <v/>
      </c>
      <c r="F56" s="17" t="inlineStr">
        <is>
          <t>estimate</t>
        </is>
      </c>
    </row>
    <row r="57" ht="15" customHeight="1" s="12">
      <c r="A57" s="17" t="inlineStr">
        <is>
          <t>OWEN PRM-24.1</t>
        </is>
      </c>
      <c r="B57" s="17" t="n">
        <v>1</v>
      </c>
      <c r="C57" s="17" t="inlineStr">
        <is>
          <t>pcs</t>
        </is>
      </c>
      <c r="D57" s="23" t="n">
        <v>90.52</v>
      </c>
      <c r="E57" s="24">
        <f>IF(D57="","",ROUND(B57*D57,0))</f>
        <v/>
      </c>
      <c r="F57" s="17" t="inlineStr">
        <is>
          <t>estimate</t>
        </is>
      </c>
    </row>
    <row r="58" ht="15" customHeight="1" s="12">
      <c r="A58" s="17" t="inlineStr">
        <is>
          <t>24 V PSU w/ battery charging (Mean Well DRC-100B, 100 W, or equiv.) + 2 batteries 12 V 7 Ah</t>
        </is>
      </c>
      <c r="B58" s="17" t="n">
        <v>1</v>
      </c>
      <c r="C58" s="17" t="inlineStr">
        <is>
          <t>set</t>
        </is>
      </c>
      <c r="D58" s="23" t="n">
        <v>131.64</v>
      </c>
      <c r="E58" s="24">
        <f>IF(D58="","",ROUND(B58*D58,0))</f>
        <v/>
      </c>
      <c r="F58" s="17" t="inlineStr">
        <is>
          <t>estimate</t>
        </is>
      </c>
    </row>
    <row r="59" ht="15" customHeight="1" s="12">
      <c r="A59" s="17" t="inlineStr">
        <is>
          <t>Contactor KM1 2P 25 A 230 V, power controller U1 0–10 V on heatsink, relays K1–K4</t>
        </is>
      </c>
      <c r="B59" s="17" t="n">
        <v>1</v>
      </c>
      <c r="C59" s="17" t="inlineStr">
        <is>
          <t>set</t>
        </is>
      </c>
      <c r="D59" s="23" t="n">
        <v>113.69</v>
      </c>
      <c r="E59" s="24">
        <f>IF(D59="","",ROUND(B59*D59,0))</f>
        <v/>
      </c>
      <c r="F59" s="17" t="inlineStr">
        <is>
          <t>estimate</t>
        </is>
      </c>
    </row>
    <row r="60" ht="15" customHeight="1" s="12">
      <c r="A60" s="17" t="inlineStr">
        <is>
          <t>MCBs QF-T, QF-V, QF-PC, QF-24; terminals, rails, cable ducts, busbars</t>
        </is>
      </c>
      <c r="B60" s="17" t="n">
        <v>1</v>
      </c>
      <c r="C60" s="17" t="inlineStr">
        <is>
          <t>set</t>
        </is>
      </c>
      <c r="D60" s="23" t="n">
        <v>71.81</v>
      </c>
      <c r="E60" s="24">
        <f>IF(D60="","",ROUND(B60*D60,0))</f>
        <v/>
      </c>
      <c r="F60" s="17" t="inlineStr">
        <is>
          <t>estimate</t>
        </is>
      </c>
    </row>
    <row r="61" ht="15" customHeight="1" s="12">
      <c r="A61" s="17" t="inlineStr">
        <is>
          <t>CC welded enclosure 1000×1060×300: 1.5 mm sheet on a 30×30 tube frame, continuous welds, roof without openings, posts extended 600 mm down, bottom with grille and filter, 2 fans 24 V, powder coating</t>
        </is>
      </c>
      <c r="B61" s="17" t="n">
        <v>1</v>
      </c>
      <c r="C61" s="17" t="inlineStr">
        <is>
          <t>set</t>
        </is>
      </c>
      <c r="D61" s="23" t="n">
        <v>203.45</v>
      </c>
      <c r="E61" s="24">
        <f>IF(D61="","",ROUND(B61*D61,0))</f>
        <v/>
      </c>
      <c r="F61" s="17" t="inlineStr">
        <is>
          <t>estimate</t>
        </is>
      </c>
    </row>
    <row r="62" ht="15" customHeight="1" s="12">
      <c r="A62" s="17" t="inlineStr">
        <is>
          <t>IP68 cable glands for Ø16–Ø32 conduit w/ adapters, nuts welded into roof</t>
        </is>
      </c>
      <c r="B62" s="17" t="n">
        <v>8</v>
      </c>
      <c r="C62" s="17" t="inlineStr">
        <is>
          <t>pcs</t>
        </is>
      </c>
      <c r="D62" s="23" t="n">
        <v>2.99</v>
      </c>
      <c r="E62" s="24">
        <f>IF(D62="","",ROUND(B62*D62,0))</f>
        <v/>
      </c>
      <c r="F62" s="17" t="inlineStr">
        <is>
          <t>estimate</t>
        </is>
      </c>
    </row>
    <row r="63" ht="15" customHeight="1" s="12">
      <c r="A63" s="17" t="inlineStr">
        <is>
          <t>CC door: 2 tempered glass panes 4 mm 1000×540 with ground edges, brush seal, double-groove guides, roller, wire rope, bracket with quick-release pin</t>
        </is>
      </c>
      <c r="B63" s="17" t="n">
        <v>1</v>
      </c>
      <c r="C63" s="17" t="inlineStr">
        <is>
          <t>set</t>
        </is>
      </c>
      <c r="D63" s="23" t="n">
        <v>59.84</v>
      </c>
      <c r="E63" s="24">
        <f>IF(D63="","",ROUND(B63*D63,0))</f>
        <v/>
      </c>
      <c r="F63" s="17" t="inlineStr">
        <is>
          <t>estimate</t>
        </is>
      </c>
    </row>
    <row r="64" ht="15" customHeight="1" s="12">
      <c r="A64" s="17" t="inlineStr">
        <is>
          <t>Linear actuator 24 V, 550 mm stroke, up to 300 N, built-in limit switches + 70×70 cover</t>
        </is>
      </c>
      <c r="B64" s="17" t="n">
        <v>1</v>
      </c>
      <c r="C64" s="17" t="inlineStr">
        <is>
          <t>set</t>
        </is>
      </c>
      <c r="D64" s="23" t="n">
        <v>59.84</v>
      </c>
      <c r="E64" s="24">
        <f>IF(D64="","",ROUND(B64*D64,0))</f>
        <v/>
      </c>
      <c r="F64" s="17" t="inlineStr">
        <is>
          <t>estimate</t>
        </is>
      </c>
    </row>
    <row r="65" ht="15" customHeight="1" s="12">
      <c r="A65" s="17" t="inlineStr">
        <is>
          <t>Actuator reversing relays (2 pcs), door button on side</t>
        </is>
      </c>
      <c r="B65" s="17" t="n">
        <v>1</v>
      </c>
      <c r="C65" s="17" t="inlineStr">
        <is>
          <t>set</t>
        </is>
      </c>
      <c r="D65" s="23" t="n">
        <v>17.95</v>
      </c>
      <c r="E65" s="24">
        <f>IF(D65="","",ROUND(B65*D65,0))</f>
        <v/>
      </c>
      <c r="F65" s="17" t="inlineStr">
        <is>
          <t>estimate</t>
        </is>
      </c>
    </row>
    <row r="66" ht="15" customHeight="1" s="12">
      <c r="A66" s="19" t="inlineStr">
        <is>
          <t>Section subtotal</t>
        </is>
      </c>
      <c r="B66" s="19" t="n"/>
      <c r="C66" s="19" t="n"/>
      <c r="D66" s="19" t="n"/>
      <c r="E66" s="25">
        <f>SUM(E56:E65)</f>
        <v/>
      </c>
      <c r="F66" s="19" t="n"/>
    </row>
    <row r="67" ht="15" customHeight="1" s="12">
      <c r="A67" s="16" t="inlineStr">
        <is>
          <t>Sensors</t>
        </is>
      </c>
      <c r="B67" s="16" t="n"/>
      <c r="C67" s="16" t="n"/>
      <c r="D67" s="16" t="n"/>
      <c r="E67" s="16" t="n"/>
      <c r="F67" s="16" t="n"/>
    </row>
    <row r="68" ht="15" customHeight="1" s="12">
      <c r="A68" s="17" t="inlineStr">
        <is>
          <t>iArduino CO₂ RS-485 (NDIR + t + humidity) — room, sensor 2</t>
        </is>
      </c>
      <c r="B68" s="17" t="n">
        <v>1</v>
      </c>
      <c r="C68" s="17" t="inlineStr">
        <is>
          <t>pcs</t>
        </is>
      </c>
      <c r="D68" s="23" t="n">
        <v>57.44</v>
      </c>
      <c r="E68" s="24">
        <f>IF(D68="","",ROUND(B68*D68,0))</f>
        <v/>
      </c>
      <c r="F68" s="17" t="inlineStr">
        <is>
          <t>estimate</t>
        </is>
      </c>
    </row>
    <row r="69" ht="15" customHeight="1" s="12">
      <c r="A69" s="17" t="inlineStr">
        <is>
          <t>iArduino climate unit RS-485 (t, humidity, light) — bathroom and cabinet</t>
        </is>
      </c>
      <c r="B69" s="17" t="n">
        <v>2</v>
      </c>
      <c r="C69" s="17" t="inlineStr">
        <is>
          <t>pcs</t>
        </is>
      </c>
      <c r="D69" s="23" t="n">
        <v>10.29</v>
      </c>
      <c r="E69" s="24">
        <f>IF(D69="","",ROUND(B69*D69,0))</f>
        <v/>
      </c>
      <c r="F69" s="17" t="inlineStr">
        <is>
          <t>estimate</t>
        </is>
      </c>
    </row>
    <row r="70" ht="15" customHeight="1" s="12">
      <c r="A70" s="17" t="inlineStr">
        <is>
          <t>iArduino eCO₂/TVOC RS-485 (SGP30) — odor/smoke in supply, sensor 9</t>
        </is>
      </c>
      <c r="B70" s="17" t="n">
        <v>1</v>
      </c>
      <c r="C70" s="17" t="inlineStr">
        <is>
          <t>pcs</t>
        </is>
      </c>
      <c r="D70" s="23" t="n">
        <v>29.8</v>
      </c>
      <c r="E70" s="24">
        <f>IF(D70="","",ROUND(B70*D70,0))</f>
        <v/>
      </c>
      <c r="F70" s="17" t="inlineStr">
        <is>
          <t>estimate</t>
        </is>
      </c>
    </row>
    <row r="71" ht="15" customHeight="1" s="12">
      <c r="A71" s="17" t="inlineStr">
        <is>
          <t>R4DCB08 module: 8 channels DS18B20 → RS-485 Modbus</t>
        </is>
      </c>
      <c r="B71" s="17" t="n">
        <v>1</v>
      </c>
      <c r="C71" s="17" t="inlineStr">
        <is>
          <t>pcs</t>
        </is>
      </c>
      <c r="D71" s="23" t="n">
        <v>13.16</v>
      </c>
      <c r="E71" s="24">
        <f>IF(D71="","",ROUND(B71*D71,0))</f>
        <v/>
      </c>
      <c r="F71" s="17" t="inlineStr">
        <is>
          <t>estimate</t>
        </is>
      </c>
    </row>
    <row r="72" ht="15" customHeight="1" s="12">
      <c r="A72" s="17" t="inlineStr">
        <is>
          <t>Sealed DS18B20 probe, 2–3 m cable: outdoor and after heater</t>
        </is>
      </c>
      <c r="B72" s="17" t="n">
        <v>2</v>
      </c>
      <c r="C72" s="17" t="inlineStr">
        <is>
          <t>pcs</t>
        </is>
      </c>
      <c r="D72" s="23" t="n">
        <v>2.39</v>
      </c>
      <c r="E72" s="24">
        <f>IF(D72="","",ROUND(B72*D72,0))</f>
        <v/>
      </c>
      <c r="F72" s="17" t="inlineStr">
        <is>
          <t>estimate</t>
        </is>
      </c>
    </row>
    <row r="73" ht="15" customHeight="1" s="12">
      <c r="A73" s="17" t="inlineStr">
        <is>
          <t>Smoke detector IP 212-39/1 “Agat”, 4-wire, 7–30 V, relay, no sounder (BD1)</t>
        </is>
      </c>
      <c r="B73" s="17" t="n">
        <v>1</v>
      </c>
      <c r="C73" s="17" t="inlineStr">
        <is>
          <t>pcs</t>
        </is>
      </c>
      <c r="D73" s="23" t="n">
        <v>10.77</v>
      </c>
      <c r="E73" s="24">
        <f>IF(D73="","",ROUND(B73*D73,0))</f>
        <v/>
      </c>
      <c r="F73" s="17" t="inlineStr">
        <is>
          <t>estimate</t>
        </is>
      </c>
    </row>
    <row r="74" ht="15" customHeight="1" s="12">
      <c r="A74" s="17" t="inlineStr">
        <is>
          <t>Differential pressure switch EKF RVG-10-500 (with tubes and fittings): flow SP1, filter SP2</t>
        </is>
      </c>
      <c r="B74" s="17" t="n">
        <v>2</v>
      </c>
      <c r="C74" s="17" t="inlineStr">
        <is>
          <t>pcs</t>
        </is>
      </c>
      <c r="D74" s="23" t="n">
        <v>15.56</v>
      </c>
      <c r="E74" s="24">
        <f>IF(D74="","",ROUND(B74*D74,0))</f>
        <v/>
      </c>
      <c r="F74" s="17" t="inlineStr">
        <is>
          <t>estimate</t>
        </is>
      </c>
    </row>
    <row r="75" ht="15" customHeight="1" s="12">
      <c r="A75" s="17" t="inlineStr">
        <is>
          <t>Cabinet door reed switch SQ1 (IO 102-2 or equiv.)</t>
        </is>
      </c>
      <c r="B75" s="17" t="n">
        <v>1</v>
      </c>
      <c r="C75" s="17" t="inlineStr">
        <is>
          <t>pcs</t>
        </is>
      </c>
      <c r="D75" s="23" t="n">
        <v>2.39</v>
      </c>
      <c r="E75" s="24">
        <f>IF(D75="","",ROUND(B75*D75,0))</f>
        <v/>
      </c>
      <c r="F75" s="17" t="inlineStr">
        <is>
          <t>estimate</t>
        </is>
      </c>
    </row>
    <row r="76" ht="15" customHeight="1" s="12">
      <c r="A76" s="17" t="inlineStr">
        <is>
          <t>USB–RS-485 adapter for setting sensor addresses (one-off)</t>
        </is>
      </c>
      <c r="B76" s="17" t="n">
        <v>1</v>
      </c>
      <c r="C76" s="17" t="inlineStr">
        <is>
          <t>pcs</t>
        </is>
      </c>
      <c r="D76" s="23" t="n">
        <v>4.79</v>
      </c>
      <c r="E76" s="24">
        <f>IF(D76="","",ROUND(B76*D76,0))</f>
        <v/>
      </c>
      <c r="F76" s="17" t="inlineStr">
        <is>
          <t>estimate</t>
        </is>
      </c>
    </row>
    <row r="77" ht="15" customHeight="1" s="12">
      <c r="A77" s="19" t="inlineStr">
        <is>
          <t>Section subtotal</t>
        </is>
      </c>
      <c r="B77" s="19" t="n"/>
      <c r="C77" s="19" t="n"/>
      <c r="D77" s="19" t="n"/>
      <c r="E77" s="25">
        <f>SUM(E68:E76)</f>
        <v/>
      </c>
      <c r="F77" s="19" t="n"/>
    </row>
    <row r="78" ht="15" customHeight="1" s="12">
      <c r="A78" s="16" t="inlineStr">
        <is>
          <t>Computer — for the future, not included in total</t>
        </is>
      </c>
      <c r="B78" s="16" t="n"/>
      <c r="C78" s="16" t="n"/>
      <c r="D78" s="16" t="n"/>
      <c r="E78" s="16" t="n"/>
      <c r="F78" s="16" t="n"/>
    </row>
    <row r="79" ht="15" customHeight="1" s="12">
      <c r="A79" s="17" t="inlineStr">
        <is>
          <t>Graphics card GeForce RTX 3060 12 GB (new)</t>
        </is>
      </c>
      <c r="B79" s="17" t="n">
        <v>1</v>
      </c>
      <c r="C79" s="17" t="inlineStr">
        <is>
          <t>pcs</t>
        </is>
      </c>
      <c r="D79" s="23" t="n">
        <v>0</v>
      </c>
      <c r="E79" s="24">
        <f>IF(D79="","",ROUND(B79*D79,0))</f>
        <v/>
      </c>
      <c r="F79" s="17" t="inlineStr">
        <is>
          <t>later</t>
        </is>
      </c>
    </row>
    <row r="80" ht="15" customHeight="1" s="12">
      <c r="A80" s="17" t="inlineStr">
        <is>
          <t>Mini-ITX board with Wi-Fi + CPU + 32 GB + NVMe 1 TB + PSU SFX 550 W + PCIe riser + USB–RS-485</t>
        </is>
      </c>
      <c r="B80" s="17" t="n">
        <v>1</v>
      </c>
      <c r="C80" s="17" t="inlineStr">
        <is>
          <t>set</t>
        </is>
      </c>
      <c r="D80" s="23" t="n">
        <v>0</v>
      </c>
      <c r="E80" s="24">
        <f>IF(D80="","",ROUND(B80*D80,0))</f>
        <v/>
      </c>
      <c r="F80" s="17" t="inlineStr">
        <is>
          <t>later</t>
        </is>
      </c>
    </row>
    <row r="81" ht="15" customHeight="1" s="12">
      <c r="A81" s="17" t="inlineStr">
        <is>
          <t>UPS 650–850 VA (new)</t>
        </is>
      </c>
      <c r="B81" s="17" t="n">
        <v>1</v>
      </c>
      <c r="C81" s="17" t="inlineStr">
        <is>
          <t>pcs</t>
        </is>
      </c>
      <c r="D81" s="23" t="n">
        <v>0</v>
      </c>
      <c r="E81" s="24">
        <f>IF(D81="","",ROUND(B81*D81,0))</f>
        <v/>
      </c>
      <c r="F81" s="17" t="inlineStr">
        <is>
          <t>later</t>
        </is>
      </c>
    </row>
    <row r="82" ht="15" customHeight="1" s="12">
      <c r="A82" s="17" t="inlineStr">
        <is>
          <t>Monitor 15.6″ + VESA mount</t>
        </is>
      </c>
      <c r="B82" s="17" t="n">
        <v>1</v>
      </c>
      <c r="C82" s="17" t="inlineStr">
        <is>
          <t>pcs</t>
        </is>
      </c>
      <c r="D82" s="23" t="n">
        <v>0</v>
      </c>
      <c r="E82" s="24">
        <f>IF(D82="","",ROUND(B82*D82,0))</f>
        <v/>
      </c>
      <c r="F82" s="17" t="inlineStr">
        <is>
          <t>later</t>
        </is>
      </c>
    </row>
    <row r="83" ht="15" customHeight="1" s="12">
      <c r="A83" s="19" t="inlineStr">
        <is>
          <t>Section subtotal</t>
        </is>
      </c>
      <c r="B83" s="19" t="n"/>
      <c r="C83" s="19" t="n"/>
      <c r="D83" s="19" t="n"/>
      <c r="E83" s="25">
        <f>SUM(E79:E82)</f>
        <v/>
      </c>
      <c r="F83" s="19" t="n"/>
    </row>
    <row r="84" ht="15" customHeight="1" s="12">
      <c r="A84" s="16" t="inlineStr">
        <is>
          <t>Climate and video</t>
        </is>
      </c>
      <c r="B84" s="16" t="n"/>
      <c r="C84" s="16" t="n"/>
      <c r="D84" s="16" t="n"/>
      <c r="E84" s="16" t="n"/>
      <c r="F84" s="16" t="n"/>
    </row>
    <row r="85" ht="15" customHeight="1" s="12">
      <c r="A85" s="17" t="inlineStr">
        <is>
          <t>Air conditioner Midea Persona MSAG4-09HRN8-I, black, 2.6 kW</t>
        </is>
      </c>
      <c r="B85" s="17" t="n">
        <v>1</v>
      </c>
      <c r="C85" s="17" t="inlineStr">
        <is>
          <t>pcs</t>
        </is>
      </c>
      <c r="D85" s="23" t="n">
        <v>451.06</v>
      </c>
      <c r="E85" s="24">
        <f>IF(D85="","",ROUND(B85*D85,0))</f>
        <v/>
      </c>
      <c r="F85" s="17" t="inlineStr">
        <is>
          <t>estimate</t>
        </is>
      </c>
    </row>
    <row r="86" ht="15" customHeight="1" s="12">
      <c r="A86" s="17" t="inlineStr">
        <is>
          <t>Midea Wi-Fi module for the AC (local control)</t>
        </is>
      </c>
      <c r="B86" s="17" t="n">
        <v>1</v>
      </c>
      <c r="C86" s="17" t="inlineStr">
        <is>
          <t>pcs</t>
        </is>
      </c>
      <c r="D86" s="23" t="n">
        <v>29.92</v>
      </c>
      <c r="E86" s="24">
        <f>IF(D86="","",ROUND(B86*D86,0))</f>
        <v/>
      </c>
      <c r="F86" s="17" t="inlineStr">
        <is>
          <t>estimate</t>
        </is>
      </c>
    </row>
    <row r="87" ht="15" customHeight="1" s="12">
      <c r="A87" s="17" t="inlineStr">
        <is>
          <t>AC installation: unit on 2 spacers 40×20, 5 cm off the wall (conduits to the cabinet behind it), route ≈4.5 m: copper + cable + drain in one 60×40 trunking for 2.0 m, one sleeve at the bottom of the infill panel, copper above the window, drain drips by the window; bracket: unit behind the glazed sash, bottom ≈30 cm above ground</t>
        </is>
      </c>
      <c r="B87" s="17" t="n">
        <v>1</v>
      </c>
      <c r="C87" s="17" t="inlineStr">
        <is>
          <t>set</t>
        </is>
      </c>
      <c r="D87" s="18" t="n"/>
      <c r="E87" s="24">
        <f>IF(D87="","",ROUND(B87*D87,0))</f>
        <v/>
      </c>
      <c r="F87" s="17" t="inlineStr">
        <is>
          <t>TBC</t>
        </is>
      </c>
    </row>
    <row r="88" ht="15" customHeight="1" s="12">
      <c r="A88" s="17" t="inlineStr">
        <is>
          <t>IP camera 4 MP, 2.8 mm, IR, PoE (CAM1 — bullet, CAM2 — dome)</t>
        </is>
      </c>
      <c r="B88" s="17" t="n">
        <v>2</v>
      </c>
      <c r="C88" s="17" t="inlineStr">
        <is>
          <t>pcs</t>
        </is>
      </c>
      <c r="D88" s="23" t="n">
        <v>0</v>
      </c>
      <c r="E88" s="24">
        <f>IF(D88="","",ROUND(B88*D88,0))</f>
        <v/>
      </c>
      <c r="F88" s="17" t="inlineStr">
        <is>
          <t>later</t>
        </is>
      </c>
    </row>
    <row r="89" ht="15" customHeight="1" s="12">
      <c r="A89" s="17" t="inlineStr">
        <is>
          <t>PoE switch 4+1, DIN rail</t>
        </is>
      </c>
      <c r="B89" s="17" t="n">
        <v>1</v>
      </c>
      <c r="C89" s="17" t="inlineStr">
        <is>
          <t>pcs</t>
        </is>
      </c>
      <c r="D89" s="23" t="n">
        <v>0</v>
      </c>
      <c r="E89" s="24">
        <f>IF(D89="","",ROUND(B89*D89,0))</f>
        <v/>
      </c>
      <c r="F89" s="17" t="inlineStr">
        <is>
          <t>later</t>
        </is>
      </c>
    </row>
    <row r="90" ht="15" customHeight="1" s="12">
      <c r="A90" s="17" t="inlineStr">
        <is>
          <t>LED strip 24 V blue + profile (cabinet backlight)</t>
        </is>
      </c>
      <c r="B90" s="17" t="n">
        <v>1</v>
      </c>
      <c r="C90" s="17" t="inlineStr">
        <is>
          <t>set</t>
        </is>
      </c>
      <c r="D90" s="23" t="n">
        <v>14.36</v>
      </c>
      <c r="E90" s="24">
        <f>IF(D90="","",ROUND(B90*D90,0))</f>
        <v/>
      </c>
      <c r="F90" s="17" t="inlineStr">
        <is>
          <t>estimate</t>
        </is>
      </c>
    </row>
    <row r="91" ht="15" customHeight="1" s="12">
      <c r="A91" s="19" t="inlineStr">
        <is>
          <t>Section subtotal</t>
        </is>
      </c>
      <c r="B91" s="19" t="n"/>
      <c r="C91" s="19" t="n"/>
      <c r="D91" s="19" t="n"/>
      <c r="E91" s="25">
        <f>SUM(E85:E90)</f>
        <v/>
      </c>
      <c r="F91" s="19" t="n"/>
    </row>
    <row r="92" ht="15" customHeight="1" s="12">
      <c r="A92" s="16" t="inlineStr">
        <is>
          <t>Finishing</t>
        </is>
      </c>
      <c r="B92" s="16" t="n"/>
      <c r="C92" s="16" t="n"/>
      <c r="D92" s="16" t="n"/>
      <c r="E92" s="16" t="n"/>
      <c r="F92" s="16" t="n"/>
    </row>
    <row r="93" ht="15" customHeight="1" s="12">
      <c r="A93" s="17" t="inlineStr">
        <is>
          <t>Decorative ladder above the radiator: 2 posts 40×40 with base plates to the floor (5 cm from each window edge), 4 bent strips 40×20 with a sharp kink (top one — handrail at 1.70 m), 4 steps 410×160 of bent checker plate 3 mm, post tops at 1.76 m turned into the wall with base plates on anchors, powder coating</t>
        </is>
      </c>
      <c r="B93" s="17" t="n">
        <v>1</v>
      </c>
      <c r="C93" s="17" t="inlineStr">
        <is>
          <t>set</t>
        </is>
      </c>
      <c r="D93" s="23" t="n">
        <v>101.72</v>
      </c>
      <c r="E93" s="24">
        <f>IF(D93="","",ROUND(B93*D93,0))</f>
        <v/>
      </c>
      <c r="F93" s="17" t="inlineStr">
        <is>
          <t>estimate</t>
        </is>
      </c>
    </row>
    <row r="94" ht="15" customHeight="1" s="12">
      <c r="A94" s="19" t="inlineStr">
        <is>
          <t>Section subtotal</t>
        </is>
      </c>
      <c r="B94" s="19" t="n"/>
      <c r="C94" s="19" t="n"/>
      <c r="D94" s="19" t="n"/>
      <c r="E94" s="25">
        <f>SUM(E93:E93)</f>
        <v/>
      </c>
      <c r="F94" s="19" t="n"/>
    </row>
    <row r="95"/>
    <row r="96" ht="15" customHeight="1" s="12">
      <c r="A96" s="21" t="inlineStr">
        <is>
          <t>TOTAL for all sections (excl. items without price)</t>
        </is>
      </c>
      <c r="E96" s="26">
        <f>E12+E20+E30+E42+E54+E66+E77+E83+E91+E94</f>
        <v/>
      </c>
    </row>
    <row r="97" ht="15" customHeight="1" s="12">
      <c r="A97" s="14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1" min="1" max="1"/>
    <col width="46" customWidth="1" style="11" min="2" max="2"/>
    <col width="24" customWidth="1" style="11" min="3" max="3"/>
    <col width="26" customWidth="1" style="11" min="4" max="4"/>
    <col width="24" customWidth="1" style="11" min="5" max="5"/>
    <col width="8" customWidth="1" style="11" min="6" max="6"/>
    <col width="10" customWidth="1" style="11" min="7" max="7"/>
    <col width="14" customWidth="1" style="11" min="8" max="8"/>
    <col width="12" customWidth="1" style="11" min="9" max="9"/>
  </cols>
  <sheetData>
    <row r="1" ht="23.85" customHeight="1" s="12">
      <c r="A1" s="15" t="inlineStr">
        <is>
          <t>№</t>
        </is>
      </c>
      <c r="B1" s="15" t="inlineStr">
        <is>
          <t>Line</t>
        </is>
      </c>
      <c r="C1" s="15" t="inlineStr">
        <is>
          <t>From</t>
        </is>
      </c>
      <c r="D1" s="15" t="inlineStr">
        <is>
          <t>To</t>
        </is>
      </c>
      <c r="E1" s="15" t="inlineStr">
        <is>
          <t>Cable</t>
        </is>
      </c>
      <c r="F1" s="15" t="inlineStr">
        <is>
          <t>Conduit</t>
        </is>
      </c>
      <c r="G1" s="15" t="inlineStr">
        <is>
          <t>Route, m</t>
        </is>
      </c>
      <c r="H1" s="15" t="inlineStr">
        <is>
          <t>Cable incl. allowance, m</t>
        </is>
      </c>
      <c r="I1" s="15" t="inlineStr">
        <is>
          <t>Section</t>
        </is>
      </c>
    </row>
    <row r="2" ht="15" customHeight="1" s="12">
      <c r="A2" s="17" t="n">
        <v>1</v>
      </c>
      <c r="B2" s="17" t="inlineStr">
        <is>
          <t>Cct 6 — boiler</t>
        </is>
      </c>
      <c r="C2" s="17" t="inlineStr">
        <is>
          <t>DB</t>
        </is>
      </c>
      <c r="D2" s="17" t="inlineStr">
        <is>
          <t>boiler socket</t>
        </is>
      </c>
      <c r="E2" s="17" t="inlineStr">
        <is>
          <t>VVGng(A)-LS 3×2.5</t>
        </is>
      </c>
      <c r="F2" s="17" t="inlineStr">
        <is>
          <t>Ø25</t>
        </is>
      </c>
      <c r="G2" s="17" t="n">
        <v>3.32</v>
      </c>
      <c r="H2" s="17" t="n">
        <v>4.02</v>
      </c>
      <c r="I2" s="17" t="inlineStr">
        <is>
          <t>Bathroom</t>
        </is>
      </c>
    </row>
    <row r="3" ht="15" customHeight="1" s="12">
      <c r="A3" s="17" t="n">
        <v>2</v>
      </c>
      <c r="B3" s="17" t="inlineStr">
        <is>
          <t>Cct 3 — bathroom socket</t>
        </is>
      </c>
      <c r="C3" s="17" t="inlineStr">
        <is>
          <t>DB</t>
        </is>
      </c>
      <c r="D3" s="17" t="inlineStr">
        <is>
          <t>double socket</t>
        </is>
      </c>
      <c r="E3" s="17" t="inlineStr">
        <is>
          <t>VVGng(A)-LS 3×2.5</t>
        </is>
      </c>
      <c r="F3" s="17" t="inlineStr">
        <is>
          <t>Ø25</t>
        </is>
      </c>
      <c r="G3" s="17" t="n">
        <v>4.1</v>
      </c>
      <c r="H3" s="17" t="n">
        <v>4.8</v>
      </c>
      <c r="I3" s="17" t="inlineStr">
        <is>
          <t>Bathroom</t>
        </is>
      </c>
    </row>
    <row r="4" ht="15" customHeight="1" s="12">
      <c r="A4" s="17" t="n">
        <v>3</v>
      </c>
      <c r="B4" s="17" t="inlineStr">
        <is>
          <t>Cct 3 — loop to LPU</t>
        </is>
      </c>
      <c r="C4" s="17" t="inlineStr">
        <is>
          <t>double socket</t>
        </is>
      </c>
      <c r="D4" s="17" t="inlineStr">
        <is>
          <t>LPU</t>
        </is>
      </c>
      <c r="E4" s="17" t="inlineStr">
        <is>
          <t>VVGng(A)-LS 3×2.5</t>
        </is>
      </c>
      <c r="F4" s="17" t="inlineStr">
        <is>
          <t>Ø25</t>
        </is>
      </c>
      <c r="G4" s="17" t="n">
        <v>1.05</v>
      </c>
      <c r="H4" s="17" t="n">
        <v>1.45</v>
      </c>
      <c r="I4" s="17" t="inlineStr">
        <is>
          <t>Bathroom</t>
        </is>
      </c>
    </row>
    <row r="5" ht="15" customHeight="1" s="12">
      <c r="A5" s="17" t="n">
        <v>4</v>
      </c>
      <c r="B5" s="17" t="inlineStr">
        <is>
          <t>Cct 1 — SW1 supply</t>
        </is>
      </c>
      <c r="C5" s="17" t="inlineStr">
        <is>
          <t>DB</t>
        </is>
      </c>
      <c r="D5" s="17" t="inlineStr">
        <is>
          <t>SW1</t>
        </is>
      </c>
      <c r="E5" s="17" t="inlineStr">
        <is>
          <t>VVGng(A)-LS 3×1.5</t>
        </is>
      </c>
      <c r="F5" s="17" t="inlineStr">
        <is>
          <t>Ø20</t>
        </is>
      </c>
      <c r="G5" s="17" t="n">
        <v>5.34</v>
      </c>
      <c r="H5" s="17" t="n">
        <v>6.04</v>
      </c>
      <c r="I5" s="17" t="inlineStr">
        <is>
          <t>Bathroom</t>
        </is>
      </c>
    </row>
    <row r="6" ht="15" customHeight="1" s="12">
      <c r="A6" s="17" t="n">
        <v>5</v>
      </c>
      <c r="B6" s="17" t="inlineStr">
        <is>
          <t>SW1 → light and backlight (one conduit)</t>
        </is>
      </c>
      <c r="C6" s="17" t="inlineStr">
        <is>
          <t>SW1</t>
        </is>
      </c>
      <c r="D6" s="17" t="inlineStr">
        <is>
          <t>junction box</t>
        </is>
      </c>
      <c r="E6" s="17" t="inlineStr">
        <is>
          <t>2×(3×1.5)</t>
        </is>
      </c>
      <c r="F6" s="17" t="inlineStr">
        <is>
          <t>Ø25</t>
        </is>
      </c>
      <c r="G6" s="17" t="n">
        <v>3.35</v>
      </c>
      <c r="H6" s="17" t="n">
        <v>7.69</v>
      </c>
      <c r="I6" s="17" t="inlineStr">
        <is>
          <t>Bathroom</t>
        </is>
      </c>
    </row>
    <row r="7" ht="15" customHeight="1" s="12">
      <c r="A7" s="17" t="n">
        <v>6</v>
      </c>
      <c r="B7" s="17" t="inlineStr">
        <is>
          <t>Box → luminaire</t>
        </is>
      </c>
      <c r="C7" s="17" t="inlineStr">
        <is>
          <t>box</t>
        </is>
      </c>
      <c r="D7" s="17" t="inlineStr">
        <is>
          <t>luminaire</t>
        </is>
      </c>
      <c r="E7" s="17" t="inlineStr">
        <is>
          <t>VVGng(A)-LS 3×1.5</t>
        </is>
      </c>
      <c r="F7" s="17" t="inlineStr">
        <is>
          <t>Ø20</t>
        </is>
      </c>
      <c r="G7" s="17" t="n">
        <v>0.68</v>
      </c>
      <c r="H7" s="17" t="n"/>
      <c r="I7" s="17" t="inlineStr">
        <is>
          <t>Bathroom</t>
        </is>
      </c>
    </row>
    <row r="8" ht="15" customHeight="1" s="12">
      <c r="A8" s="17" t="n">
        <v>7</v>
      </c>
      <c r="B8" s="17" t="inlineStr">
        <is>
          <t>Box → backlight</t>
        </is>
      </c>
      <c r="C8" s="17" t="inlineStr">
        <is>
          <t>box</t>
        </is>
      </c>
      <c r="D8" s="17" t="inlineStr">
        <is>
          <t>backlight</t>
        </is>
      </c>
      <c r="E8" s="17" t="inlineStr">
        <is>
          <t>VVGng(A)-LS 3×1.5</t>
        </is>
      </c>
      <c r="F8" s="17" t="inlineStr">
        <is>
          <t>Ø20</t>
        </is>
      </c>
      <c r="G8" s="17" t="n">
        <v>1.21</v>
      </c>
      <c r="H8" s="17" t="n"/>
      <c r="I8" s="17" t="inlineStr">
        <is>
          <t>Bathroom</t>
        </is>
      </c>
    </row>
    <row r="9" ht="15" customHeight="1" s="12">
      <c r="A9" s="17" t="n">
        <v>8</v>
      </c>
      <c r="B9" s="17" t="inlineStr">
        <is>
          <t>Cct 7 — fridge</t>
        </is>
      </c>
      <c r="C9" s="17" t="inlineStr">
        <is>
          <t>DB</t>
        </is>
      </c>
      <c r="D9" s="17" t="inlineStr">
        <is>
          <t>fridge socket</t>
        </is>
      </c>
      <c r="E9" s="17" t="inlineStr">
        <is>
          <t>VVGng(A)-LS 3×2.5</t>
        </is>
      </c>
      <c r="F9" s="17" t="inlineStr">
        <is>
          <t>Ø25</t>
        </is>
      </c>
      <c r="G9" s="17" t="n">
        <v>6.28</v>
      </c>
      <c r="H9" s="17" t="n">
        <v>6.98</v>
      </c>
      <c r="I9" s="17" t="inlineStr">
        <is>
          <t>Room</t>
        </is>
      </c>
    </row>
    <row r="10" ht="15" customHeight="1" s="12">
      <c r="A10" s="17" t="n">
        <v>9</v>
      </c>
      <c r="B10" s="17" t="inlineStr">
        <is>
          <t>Cct 8 — kettle</t>
        </is>
      </c>
      <c r="C10" s="17" t="inlineStr">
        <is>
          <t>DB</t>
        </is>
      </c>
      <c r="D10" s="17" t="inlineStr">
        <is>
          <t>kettle socket</t>
        </is>
      </c>
      <c r="E10" s="17" t="inlineStr">
        <is>
          <t>VVGng(A)-LS 3×2.5</t>
        </is>
      </c>
      <c r="F10" s="17" t="inlineStr">
        <is>
          <t>Ø25</t>
        </is>
      </c>
      <c r="G10" s="17" t="n">
        <v>6.59</v>
      </c>
      <c r="H10" s="17" t="n">
        <v>7.29</v>
      </c>
      <c r="I10" s="17" t="inlineStr">
        <is>
          <t>Room</t>
        </is>
      </c>
    </row>
    <row r="11" ht="15" customHeight="1" s="12">
      <c r="A11" s="17" t="n">
        <v>10</v>
      </c>
      <c r="B11" s="17" t="inlineStr">
        <is>
          <t>Cct 9 — DB → S5</t>
        </is>
      </c>
      <c r="C11" s="17" t="inlineStr">
        <is>
          <t>DB</t>
        </is>
      </c>
      <c r="D11" s="17" t="inlineStr">
        <is>
          <t>S5</t>
        </is>
      </c>
      <c r="E11" s="17" t="inlineStr">
        <is>
          <t>VVGng(A)-LS 3×2.5</t>
        </is>
      </c>
      <c r="F11" s="17" t="inlineStr">
        <is>
          <t>Ø25</t>
        </is>
      </c>
      <c r="G11" s="17" t="n">
        <v>6.24</v>
      </c>
      <c r="H11" s="17" t="n">
        <v>6.94</v>
      </c>
      <c r="I11" s="17" t="inlineStr">
        <is>
          <t>Room</t>
        </is>
      </c>
    </row>
    <row r="12" ht="15" customHeight="1" s="12">
      <c r="A12" s="17" t="n">
        <v>11</v>
      </c>
      <c r="B12" s="17" t="inlineStr">
        <is>
          <t>Cct 9 — S5 → S4</t>
        </is>
      </c>
      <c r="C12" s="17" t="inlineStr">
        <is>
          <t>S5</t>
        </is>
      </c>
      <c r="D12" s="17" t="inlineStr">
        <is>
          <t>S4</t>
        </is>
      </c>
      <c r="E12" s="17" t="inlineStr">
        <is>
          <t>VVGng(A)-LS 3×2.5</t>
        </is>
      </c>
      <c r="F12" s="17" t="inlineStr">
        <is>
          <t>Ø25</t>
        </is>
      </c>
      <c r="G12" s="17" t="n">
        <v>6.55</v>
      </c>
      <c r="H12" s="17" t="n">
        <v>6.95</v>
      </c>
      <c r="I12" s="17" t="inlineStr">
        <is>
          <t>Room</t>
        </is>
      </c>
    </row>
    <row r="13" ht="15" customHeight="1" s="12">
      <c r="A13" s="17" t="n">
        <v>12</v>
      </c>
      <c r="B13" s="17" t="inlineStr">
        <is>
          <t>Cct 11 — air conditioner</t>
        </is>
      </c>
      <c r="C13" s="17" t="inlineStr">
        <is>
          <t>DB</t>
        </is>
      </c>
      <c r="D13" s="17" t="inlineStr">
        <is>
          <t>AC socket</t>
        </is>
      </c>
      <c r="E13" s="17" t="inlineStr">
        <is>
          <t>VVGng(A)-LS 3×2.5</t>
        </is>
      </c>
      <c r="F13" s="17" t="inlineStr">
        <is>
          <t>Ø25</t>
        </is>
      </c>
      <c r="G13" s="17" t="n">
        <v>8.130000000000001</v>
      </c>
      <c r="H13" s="17" t="n">
        <v>8.83</v>
      </c>
      <c r="I13" s="17" t="inlineStr">
        <is>
          <t>Room</t>
        </is>
      </c>
    </row>
    <row r="14" ht="15" customHeight="1" s="12">
      <c r="A14" s="17" t="n">
        <v>13</v>
      </c>
      <c r="B14" s="17" t="inlineStr">
        <is>
          <t>Cct 10 — DB → S1</t>
        </is>
      </c>
      <c r="C14" s="17" t="inlineStr">
        <is>
          <t>DB</t>
        </is>
      </c>
      <c r="D14" s="17" t="inlineStr">
        <is>
          <t>S1</t>
        </is>
      </c>
      <c r="E14" s="17" t="inlineStr">
        <is>
          <t>VVGng(A)-LS 3×2.5</t>
        </is>
      </c>
      <c r="F14" s="17" t="inlineStr">
        <is>
          <t>Ø25</t>
        </is>
      </c>
      <c r="G14" s="17" t="n">
        <v>9.109999999999999</v>
      </c>
      <c r="H14" s="17" t="n">
        <v>9.81</v>
      </c>
      <c r="I14" s="17" t="inlineStr">
        <is>
          <t>Room</t>
        </is>
      </c>
    </row>
    <row r="15" ht="15" customHeight="1" s="12">
      <c r="A15" s="17" t="n">
        <v>14</v>
      </c>
      <c r="B15" s="17" t="inlineStr">
        <is>
          <t>Cct 10 — S1 → S2</t>
        </is>
      </c>
      <c r="C15" s="17" t="inlineStr">
        <is>
          <t>S1</t>
        </is>
      </c>
      <c r="D15" s="17" t="inlineStr">
        <is>
          <t>S2</t>
        </is>
      </c>
      <c r="E15" s="17" t="inlineStr">
        <is>
          <t>VVGng(A)-LS 3×2.5</t>
        </is>
      </c>
      <c r="F15" s="17" t="inlineStr">
        <is>
          <t>Ø25</t>
        </is>
      </c>
      <c r="G15" s="17" t="n">
        <v>6.49</v>
      </c>
      <c r="H15" s="17" t="n">
        <v>6.89</v>
      </c>
      <c r="I15" s="17" t="inlineStr">
        <is>
          <t>Room</t>
        </is>
      </c>
    </row>
    <row r="16" ht="15" customHeight="1" s="12">
      <c r="A16" s="17" t="n">
        <v>15</v>
      </c>
      <c r="B16" s="17" t="inlineStr">
        <is>
          <t>Cct 10 — S2 → S3</t>
        </is>
      </c>
      <c r="C16" s="17" t="inlineStr">
        <is>
          <t>S2</t>
        </is>
      </c>
      <c r="D16" s="17" t="inlineStr">
        <is>
          <t>S3</t>
        </is>
      </c>
      <c r="E16" s="17" t="inlineStr">
        <is>
          <t>VVGng(A)-LS 3×2.5</t>
        </is>
      </c>
      <c r="F16" s="17" t="inlineStr">
        <is>
          <t>Ø25</t>
        </is>
      </c>
      <c r="G16" s="17" t="n">
        <v>8.119999999999999</v>
      </c>
      <c r="H16" s="17" t="n">
        <v>8.52</v>
      </c>
      <c r="I16" s="17" t="inlineStr">
        <is>
          <t>Room</t>
        </is>
      </c>
    </row>
    <row r="17" ht="15" customHeight="1" s="12">
      <c r="A17" s="17" t="n">
        <v>16</v>
      </c>
      <c r="B17" s="17" t="inlineStr">
        <is>
          <t>Spare — socket under DB</t>
        </is>
      </c>
      <c r="C17" s="17" t="inlineStr">
        <is>
          <t>DB</t>
        </is>
      </c>
      <c r="D17" s="17" t="inlineStr">
        <is>
          <t>socket under DB</t>
        </is>
      </c>
      <c r="E17" s="17" t="inlineStr">
        <is>
          <t>VVGng(A)-LS 3×2.5</t>
        </is>
      </c>
      <c r="F17" s="17" t="inlineStr">
        <is>
          <t>Ø25</t>
        </is>
      </c>
      <c r="G17" s="17" t="n">
        <v>0.36</v>
      </c>
      <c r="H17" s="17" t="n">
        <v>1.06</v>
      </c>
      <c r="I17" s="17" t="inlineStr">
        <is>
          <t>Room</t>
        </is>
      </c>
    </row>
    <row r="18" ht="15" customHeight="1" s="12">
      <c r="A18" s="17" t="n">
        <v>17</v>
      </c>
      <c r="B18" s="17" t="inlineStr">
        <is>
          <t>Cct 4 + cct 5 → CC</t>
        </is>
      </c>
      <c r="C18" s="17" t="inlineStr">
        <is>
          <t>DB</t>
        </is>
      </c>
      <c r="D18" s="17" t="inlineStr">
        <is>
          <t>CC</t>
        </is>
      </c>
      <c r="E18" s="17" t="inlineStr">
        <is>
          <t>2×(3×2.5)</t>
        </is>
      </c>
      <c r="F18" s="17" t="inlineStr">
        <is>
          <t>Ø32</t>
        </is>
      </c>
      <c r="G18" s="17" t="n">
        <v>8.66</v>
      </c>
      <c r="H18" s="17" t="n">
        <v>19.32</v>
      </c>
      <c r="I18" s="17" t="inlineStr">
        <is>
          <t>Ventilation</t>
        </is>
      </c>
    </row>
    <row r="19" ht="15" customHeight="1" s="12">
      <c r="A19" s="17" t="n">
        <v>18</v>
      </c>
      <c r="B19" s="17" t="inlineStr">
        <is>
          <t>CC → bathroom exhaust fan</t>
        </is>
      </c>
      <c r="C19" s="17" t="inlineStr">
        <is>
          <t>CC</t>
        </is>
      </c>
      <c r="D19" s="17" t="inlineStr">
        <is>
          <t>fan</t>
        </is>
      </c>
      <c r="E19" s="17" t="inlineStr">
        <is>
          <t>VVGng(A)-LS 3×1.5</t>
        </is>
      </c>
      <c r="F19" s="17" t="inlineStr">
        <is>
          <t>Ø25</t>
        </is>
      </c>
      <c r="G19" s="17" t="n">
        <v>3.67</v>
      </c>
      <c r="H19" s="17" t="n">
        <v>3.97</v>
      </c>
      <c r="I19" s="17" t="inlineStr">
        <is>
          <t>Ventilation</t>
        </is>
      </c>
    </row>
    <row r="20" ht="15" customHeight="1" s="12">
      <c r="A20" s="17" t="n">
        <v>19</v>
      </c>
      <c r="B20" s="17" t="inlineStr">
        <is>
          <t>CC → room exhaust fan</t>
        </is>
      </c>
      <c r="C20" s="17" t="inlineStr">
        <is>
          <t>CC</t>
        </is>
      </c>
      <c r="D20" s="17" t="inlineStr">
        <is>
          <t>fan</t>
        </is>
      </c>
      <c r="E20" s="17" t="inlineStr">
        <is>
          <t>VVGng(A)-LS 3×1.5</t>
        </is>
      </c>
      <c r="F20" s="17" t="inlineStr">
        <is>
          <t>Ø25</t>
        </is>
      </c>
      <c r="G20" s="17" t="n">
        <v>3.65</v>
      </c>
      <c r="H20" s="17" t="n">
        <v>3.95</v>
      </c>
      <c r="I20" s="17" t="inlineStr">
        <is>
          <t>Ventilation</t>
        </is>
      </c>
    </row>
    <row r="21" ht="15" customHeight="1" s="12">
      <c r="A21" s="17" t="n">
        <v>20</v>
      </c>
      <c r="B21" s="17" t="inlineStr">
        <is>
          <t>CC → supply fan</t>
        </is>
      </c>
      <c r="C21" s="17" t="inlineStr">
        <is>
          <t>CC</t>
        </is>
      </c>
      <c r="D21" s="17" t="inlineStr">
        <is>
          <t>fan</t>
        </is>
      </c>
      <c r="E21" s="17" t="inlineStr">
        <is>
          <t>VVGng(A)-LS 3×1.5</t>
        </is>
      </c>
      <c r="F21" s="17" t="inlineStr">
        <is>
          <t>Ø25</t>
        </is>
      </c>
      <c r="G21" s="17" t="n">
        <v>1.72</v>
      </c>
      <c r="H21" s="17" t="n">
        <v>2.02</v>
      </c>
      <c r="I21" s="17" t="inlineStr">
        <is>
          <t>Ventilation</t>
        </is>
      </c>
    </row>
    <row r="22" ht="15" customHeight="1" s="12">
      <c r="A22" s="17" t="n">
        <v>21</v>
      </c>
      <c r="B22" s="17" t="inlineStr">
        <is>
          <t>CC → heater 1.5 kW</t>
        </is>
      </c>
      <c r="C22" s="17" t="inlineStr">
        <is>
          <t>CC</t>
        </is>
      </c>
      <c r="D22" s="17" t="inlineStr">
        <is>
          <t>heater (2 cores — thermal cut-out)</t>
        </is>
      </c>
      <c r="E22" s="17" t="inlineStr">
        <is>
          <t>VVGng(A)-LS 5×1.5</t>
        </is>
      </c>
      <c r="F22" s="17" t="inlineStr">
        <is>
          <t>Ø25</t>
        </is>
      </c>
      <c r="G22" s="17" t="n">
        <v>1.61</v>
      </c>
      <c r="H22" s="17" t="n">
        <v>1.91</v>
      </c>
      <c r="I22" s="17" t="inlineStr">
        <is>
          <t>Ventilation</t>
        </is>
      </c>
    </row>
    <row r="23" ht="15" customHeight="1" s="12">
      <c r="A23" s="17" t="n">
        <v>22</v>
      </c>
      <c r="B23" s="17" t="inlineStr">
        <is>
          <t>Cct 2 — DB → SW2</t>
        </is>
      </c>
      <c r="C23" s="17" t="inlineStr">
        <is>
          <t>DB</t>
        </is>
      </c>
      <c r="D23" s="17" t="inlineStr">
        <is>
          <t>SW2</t>
        </is>
      </c>
      <c r="E23" s="17" t="inlineStr">
        <is>
          <t>VVGng(A)-LS 5×1.5</t>
        </is>
      </c>
      <c r="F23" s="17" t="inlineStr">
        <is>
          <t>Ø20</t>
        </is>
      </c>
      <c r="G23" s="17" t="n">
        <v>0.36</v>
      </c>
      <c r="H23" s="17" t="n">
        <v>1.06</v>
      </c>
      <c r="I23" s="17" t="inlineStr">
        <is>
          <t>Lighting</t>
        </is>
      </c>
    </row>
    <row r="24" ht="15" customHeight="1" s="12">
      <c r="A24" s="17" t="n">
        <v>23</v>
      </c>
      <c r="B24" s="17" t="inlineStr">
        <is>
          <t>Cct 2 — DB → box JB1 (3 keys)</t>
        </is>
      </c>
      <c r="C24" s="17" t="inlineStr">
        <is>
          <t>DB</t>
        </is>
      </c>
      <c r="D24" s="17" t="inlineStr">
        <is>
          <t>JB1</t>
        </is>
      </c>
      <c r="E24" s="17" t="inlineStr">
        <is>
          <t>VVGng(A)-LS 5×1.5</t>
        </is>
      </c>
      <c r="F24" s="17" t="inlineStr">
        <is>
          <t>Ø20</t>
        </is>
      </c>
      <c r="G24" s="17" t="n">
        <v>3.41</v>
      </c>
      <c r="H24" s="17" t="n">
        <v>4.06</v>
      </c>
      <c r="I24" s="17" t="inlineStr">
        <is>
          <t>Lighting</t>
        </is>
      </c>
    </row>
    <row r="25" ht="15" customHeight="1" s="12">
      <c r="A25" s="17" t="n">
        <v>24</v>
      </c>
      <c r="B25" s="17" t="inlineStr">
        <is>
          <t>JB1 → track T0 (loft)</t>
        </is>
      </c>
      <c r="C25" s="17" t="inlineStr">
        <is>
          <t>JB1</t>
        </is>
      </c>
      <c r="D25" s="17" t="inlineStr">
        <is>
          <t>T0</t>
        </is>
      </c>
      <c r="E25" s="17" t="inlineStr">
        <is>
          <t>VVGng(A)-LS 3×1.5</t>
        </is>
      </c>
      <c r="F25" s="17" t="inlineStr">
        <is>
          <t>Ø20</t>
        </is>
      </c>
      <c r="G25" s="17" t="n">
        <v>1.45</v>
      </c>
      <c r="H25" s="17" t="n">
        <v>1.8</v>
      </c>
      <c r="I25" s="17" t="inlineStr">
        <is>
          <t>Lighting</t>
        </is>
      </c>
    </row>
    <row r="26" ht="15" customHeight="1" s="12">
      <c r="A26" s="17" t="n">
        <v>25</v>
      </c>
      <c r="B26" s="17" t="inlineStr">
        <is>
          <t>JB1 → track T1 (work)</t>
        </is>
      </c>
      <c r="C26" s="17" t="inlineStr">
        <is>
          <t>JB1</t>
        </is>
      </c>
      <c r="D26" s="17" t="inlineStr">
        <is>
          <t>T1</t>
        </is>
      </c>
      <c r="E26" s="17" t="inlineStr">
        <is>
          <t>VVGng(A)-LS 3×1.5</t>
        </is>
      </c>
      <c r="F26" s="17" t="inlineStr">
        <is>
          <t>Ø20</t>
        </is>
      </c>
      <c r="G26" s="17" t="n">
        <v>0.63</v>
      </c>
      <c r="H26" s="17" t="n">
        <v>0.98</v>
      </c>
      <c r="I26" s="17" t="inlineStr">
        <is>
          <t>Lighting</t>
        </is>
      </c>
    </row>
    <row r="27" ht="15" customHeight="1" s="12">
      <c r="A27" s="17" t="n">
        <v>26</v>
      </c>
      <c r="B27" s="17" t="inlineStr">
        <is>
          <t>JB1 → track T2 (work)</t>
        </is>
      </c>
      <c r="C27" s="17" t="inlineStr">
        <is>
          <t>JB1</t>
        </is>
      </c>
      <c r="D27" s="17" t="inlineStr">
        <is>
          <t>T2</t>
        </is>
      </c>
      <c r="E27" s="17" t="inlineStr">
        <is>
          <t>VVGng(A)-LS 3×1.5</t>
        </is>
      </c>
      <c r="F27" s="17" t="inlineStr">
        <is>
          <t>Ø20</t>
        </is>
      </c>
      <c r="G27" s="17" t="n">
        <v>0.23</v>
      </c>
      <c r="H27" s="17" t="n">
        <v>0.58</v>
      </c>
      <c r="I27" s="17" t="inlineStr">
        <is>
          <t>Lighting</t>
        </is>
      </c>
    </row>
    <row r="28" ht="15" customHeight="1" s="12">
      <c r="A28" s="17" t="n">
        <v>27</v>
      </c>
      <c r="B28" s="17" t="inlineStr">
        <is>
          <t>JB1 → track T3 (loft)</t>
        </is>
      </c>
      <c r="C28" s="17" t="inlineStr">
        <is>
          <t>JB1</t>
        </is>
      </c>
      <c r="D28" s="17" t="inlineStr">
        <is>
          <t>T3</t>
        </is>
      </c>
      <c r="E28" s="17" t="inlineStr">
        <is>
          <t>VVGng(A)-LS 3×1.5</t>
        </is>
      </c>
      <c r="F28" s="17" t="inlineStr">
        <is>
          <t>Ø20</t>
        </is>
      </c>
      <c r="G28" s="17" t="n">
        <v>0.8</v>
      </c>
      <c r="H28" s="17" t="n">
        <v>1.15</v>
      </c>
      <c r="I28" s="17" t="inlineStr">
        <is>
          <t>Lighting</t>
        </is>
      </c>
    </row>
    <row r="29" ht="15" customHeight="1" s="12">
      <c r="A29" s="17" t="n">
        <v>28</v>
      </c>
      <c r="B29" s="17" t="inlineStr">
        <is>
          <t>JB1 → entry luminaire</t>
        </is>
      </c>
      <c r="C29" s="17" t="inlineStr">
        <is>
          <t>JB1</t>
        </is>
      </c>
      <c r="D29" s="17" t="inlineStr">
        <is>
          <t>entry luminaire</t>
        </is>
      </c>
      <c r="E29" s="17" t="inlineStr">
        <is>
          <t>VVGng(A)-LS 3×1.5</t>
        </is>
      </c>
      <c r="F29" s="17" t="inlineStr">
        <is>
          <t>Ø20</t>
        </is>
      </c>
      <c r="G29" s="17" t="n">
        <v>1.01</v>
      </c>
      <c r="H29" s="17" t="n">
        <v>1.36</v>
      </c>
      <c r="I29" s="17" t="inlineStr">
        <is>
          <t>Lighting</t>
        </is>
      </c>
    </row>
    <row r="30" ht="15" customHeight="1" s="12">
      <c r="A30" s="17" t="n">
        <v>29</v>
      </c>
      <c r="B30" s="17" t="inlineStr">
        <is>
          <t>Bus: bathroom humidity sensor → sensor 2</t>
        </is>
      </c>
      <c r="C30" s="17" t="inlineStr">
        <is>
          <t>sensor 1</t>
        </is>
      </c>
      <c r="D30" s="17" t="inlineStr">
        <is>
          <t>sensor 2</t>
        </is>
      </c>
      <c r="E30" s="17" t="inlineStr">
        <is>
          <t>twisted pair FTP cat5e</t>
        </is>
      </c>
      <c r="F30" s="17" t="inlineStr">
        <is>
          <t>Ø16</t>
        </is>
      </c>
      <c r="G30" s="17" t="n">
        <v>3.18</v>
      </c>
      <c r="H30" s="17" t="n">
        <v>3.78</v>
      </c>
      <c r="I30" s="17" t="inlineStr">
        <is>
          <t>Sensors</t>
        </is>
      </c>
    </row>
    <row r="31" ht="15" customHeight="1" s="12">
      <c r="A31" s="17" t="n">
        <v>30</v>
      </c>
      <c r="B31" s="17" t="inlineStr">
        <is>
          <t>Bus: sensor 2 → CC</t>
        </is>
      </c>
      <c r="C31" s="17" t="inlineStr">
        <is>
          <t>sensor 2</t>
        </is>
      </c>
      <c r="D31" s="17" t="inlineStr">
        <is>
          <t>CC</t>
        </is>
      </c>
      <c r="E31" s="17" t="inlineStr">
        <is>
          <t>twisted pair FTP cat5e</t>
        </is>
      </c>
      <c r="F31" s="17" t="inlineStr">
        <is>
          <t>Ø16</t>
        </is>
      </c>
      <c r="G31" s="17" t="n">
        <v>7.76</v>
      </c>
      <c r="H31" s="17" t="n">
        <v>8.06</v>
      </c>
      <c r="I31" s="17" t="inlineStr">
        <is>
          <t>Sensors</t>
        </is>
      </c>
    </row>
    <row r="32" ht="15" customHeight="1" s="12">
      <c r="A32" s="17" t="n">
        <v>31</v>
      </c>
      <c r="B32" s="17" t="inlineStr">
        <is>
          <t>Smoke detector → CC</t>
        </is>
      </c>
      <c r="C32" s="17" t="inlineStr">
        <is>
          <t>smoke det.</t>
        </is>
      </c>
      <c r="D32" s="17" t="inlineStr">
        <is>
          <t>CC</t>
        </is>
      </c>
      <c r="E32" s="17" t="inlineStr">
        <is>
          <t>twisted pair FTP cat5e</t>
        </is>
      </c>
      <c r="F32" s="17" t="inlineStr">
        <is>
          <t>Ø16</t>
        </is>
      </c>
      <c r="G32" s="17" t="n">
        <v>0.28</v>
      </c>
      <c r="H32" s="17" t="n">
        <v>0.68</v>
      </c>
      <c r="I32" s="17" t="inlineStr">
        <is>
          <t>Sensors</t>
        </is>
      </c>
    </row>
    <row r="33" ht="15" customHeight="1" s="12">
      <c r="A33" s="17" t="n">
        <v>32</v>
      </c>
      <c r="B33" s="17" t="inlineStr">
        <is>
          <t>Light control: DB → box at entrance</t>
        </is>
      </c>
      <c r="C33" s="17" t="inlineStr">
        <is>
          <t>DB</t>
        </is>
      </c>
      <c r="D33" s="17" t="inlineStr">
        <is>
          <t>box JB2</t>
        </is>
      </c>
      <c r="E33" s="17" t="inlineStr">
        <is>
          <t>FTP cat5e (control)</t>
        </is>
      </c>
      <c r="F33" s="17" t="inlineStr">
        <is>
          <t>Ø16</t>
        </is>
      </c>
      <c r="G33" s="17" t="n">
        <v>2.01</v>
      </c>
      <c r="H33" s="17" t="n">
        <v>2.61</v>
      </c>
      <c r="I33" s="17" t="inlineStr">
        <is>
          <t>Sensors</t>
        </is>
      </c>
    </row>
    <row r="34" ht="15" customHeight="1" s="12">
      <c r="A34" s="17" t="n">
        <v>33</v>
      </c>
      <c r="B34" s="17" t="inlineStr">
        <is>
          <t>Smoke det. + light control + camera 2 → cabinet (one conduit)</t>
        </is>
      </c>
      <c r="C34" s="17" t="inlineStr">
        <is>
          <t>box JB2</t>
        </is>
      </c>
      <c r="D34" s="17" t="inlineStr">
        <is>
          <t>cabinet</t>
        </is>
      </c>
      <c r="E34" s="17" t="inlineStr">
        <is>
          <t>3×FTP</t>
        </is>
      </c>
      <c r="F34" s="17" t="inlineStr">
        <is>
          <t>Ø20</t>
        </is>
      </c>
      <c r="G34" s="17" t="n">
        <v>6.71</v>
      </c>
      <c r="H34" s="17" t="n">
        <v>22.22</v>
      </c>
      <c r="I34" s="17" t="inlineStr">
        <is>
          <t>Sensors</t>
        </is>
      </c>
    </row>
    <row r="35" ht="15" customHeight="1" s="12">
      <c r="A35" s="17" t="n">
        <v>34</v>
      </c>
      <c r="B35" s="17" t="inlineStr">
        <is>
          <t>Outdoor temperature → cabinet</t>
        </is>
      </c>
      <c r="C35" s="17" t="inlineStr">
        <is>
          <t>outdoor probe</t>
        </is>
      </c>
      <c r="D35" s="17" t="inlineStr">
        <is>
          <t>cabinet (R4DCB08)</t>
        </is>
      </c>
      <c r="E35" s="17" t="inlineStr">
        <is>
          <t>twisted pair FTP cat5e</t>
        </is>
      </c>
      <c r="F35" s="17" t="inlineStr">
        <is>
          <t>Ø16</t>
        </is>
      </c>
      <c r="G35" s="17" t="n">
        <v>2.32</v>
      </c>
      <c r="H35" s="17" t="n">
        <v>2.62</v>
      </c>
      <c r="I35" s="17" t="inlineStr">
        <is>
          <t>Sensors</t>
        </is>
      </c>
    </row>
    <row r="36" ht="15" customHeight="1" s="12">
      <c r="A36" s="17" t="n">
        <v>35</v>
      </c>
      <c r="B36" s="17" t="inlineStr">
        <is>
          <t>t after heater and odor sensor → drop</t>
        </is>
      </c>
      <c r="C36" s="17" t="inlineStr">
        <is>
          <t>supply probe</t>
        </is>
      </c>
      <c r="D36" s="17" t="inlineStr">
        <is>
          <t>CC</t>
        </is>
      </c>
      <c r="E36" s="17" t="inlineStr">
        <is>
          <t>2×FTP</t>
        </is>
      </c>
      <c r="F36" s="17" t="inlineStr">
        <is>
          <t>Ø16</t>
        </is>
      </c>
      <c r="G36" s="17" t="n">
        <v>0.08</v>
      </c>
      <c r="H36" s="17" t="n">
        <v>0.96</v>
      </c>
      <c r="I36" s="17" t="inlineStr">
        <is>
          <t>Sensors</t>
        </is>
      </c>
    </row>
    <row r="37" ht="15" customHeight="1" s="12">
      <c r="A37" s="17" t="n">
        <v>36</v>
      </c>
      <c r="B37" s="17" t="inlineStr">
        <is>
          <t>Supply sensors (t after heater, odor) → cabinet</t>
        </is>
      </c>
      <c r="C37" s="17" t="inlineStr">
        <is>
          <t>supply duct</t>
        </is>
      </c>
      <c r="D37" s="17" t="inlineStr">
        <is>
          <t>CC</t>
        </is>
      </c>
      <c r="E37" s="17" t="inlineStr">
        <is>
          <t>2×FTP</t>
        </is>
      </c>
      <c r="F37" s="17" t="inlineStr">
        <is>
          <t>Ø20</t>
        </is>
      </c>
      <c r="G37" s="17" t="n">
        <v>0.77</v>
      </c>
      <c r="H37" s="17" t="n">
        <v>2.53</v>
      </c>
      <c r="I37" s="17" t="inlineStr">
        <is>
          <t>Sensors</t>
        </is>
      </c>
    </row>
    <row r="38" ht="15" customHeight="1" s="12">
      <c r="A38" s="17" t="n">
        <v>37</v>
      </c>
      <c r="B38" s="17" t="inlineStr">
        <is>
          <t>Diff. pressure switch tubes (4 pcs) → cabinet</t>
        </is>
      </c>
      <c r="C38" s="17" t="inlineStr">
        <is>
          <t>supply</t>
        </is>
      </c>
      <c r="D38" s="17" t="inlineStr">
        <is>
          <t>SP1, SP2 in cabinet</t>
        </is>
      </c>
      <c r="E38" s="17" t="inlineStr">
        <is>
          <t>PVC pneumatic tube Ø6</t>
        </is>
      </c>
      <c r="F38" s="17" t="inlineStr">
        <is>
          <t>Ø16</t>
        </is>
      </c>
      <c r="G38" s="17" t="n">
        <v>1.67</v>
      </c>
      <c r="H38" s="17" t="n"/>
      <c r="I38" s="17" t="inlineStr">
        <is>
          <t>Sensors</t>
        </is>
      </c>
    </row>
    <row r="39" ht="15" customHeight="1" s="12">
      <c r="A39" s="17" t="n">
        <v>38</v>
      </c>
      <c r="B39" s="17" t="inlineStr">
        <is>
          <t>Camera 1 → cabinet (side)</t>
        </is>
      </c>
      <c r="C39" s="17" t="inlineStr">
        <is>
          <t>camera 1</t>
        </is>
      </c>
      <c r="D39" s="17" t="inlineStr">
        <is>
          <t>cabinet, side wall</t>
        </is>
      </c>
      <c r="E39" s="17" t="inlineStr">
        <is>
          <t>twisted pair FTP cat5e</t>
        </is>
      </c>
      <c r="F39" s="17" t="inlineStr">
        <is>
          <t>Ø16</t>
        </is>
      </c>
      <c r="G39" s="17" t="n">
        <v>1.12</v>
      </c>
      <c r="H39" s="17" t="n">
        <v>1.92</v>
      </c>
      <c r="I39" s="17" t="inlineStr">
        <is>
          <t>Sensors</t>
        </is>
      </c>
    </row>
    <row r="40" ht="15" customHeight="1" s="12">
      <c r="A40" s="17" t="n">
        <v>39</v>
      </c>
      <c r="B40" s="17" t="inlineStr">
        <is>
          <t>Camera 2 → box JB2</t>
        </is>
      </c>
      <c r="C40" s="17" t="inlineStr">
        <is>
          <t>camera 2</t>
        </is>
      </c>
      <c r="D40" s="17" t="inlineStr">
        <is>
          <t>box JB2</t>
        </is>
      </c>
      <c r="E40" s="17" t="inlineStr">
        <is>
          <t>twisted pair FTP cat5e</t>
        </is>
      </c>
      <c r="F40" s="17" t="inlineStr">
        <is>
          <t>Ø16</t>
        </is>
      </c>
      <c r="G40" s="17" t="n">
        <v>0.57</v>
      </c>
      <c r="H40" s="17" t="n">
        <v>0.97</v>
      </c>
      <c r="I40" s="17" t="inlineStr">
        <is>
          <t>Sensors</t>
        </is>
      </c>
    </row>
    <row r="41"/>
    <row r="42" ht="15" customHeight="1" s="12">
      <c r="B42" s="21" t="inlineStr">
        <is>
          <t>Total by cable type (incl. allowance)</t>
        </is>
      </c>
    </row>
    <row r="43" ht="15" customHeight="1" s="12">
      <c r="B43" s="11" t="inlineStr">
        <is>
          <t>2×(3×1.5)</t>
        </is>
      </c>
      <c r="H43" s="11">
        <f>SUMIF(E2:E40,"2×(3×1.5)",H2:H40)</f>
        <v/>
      </c>
    </row>
    <row r="44" ht="15" customHeight="1" s="12">
      <c r="B44" s="11" t="inlineStr">
        <is>
          <t>2×(3×2.5)</t>
        </is>
      </c>
      <c r="H44" s="11">
        <f>SUMIF(E2:E40,"2×(3×2.5)",H2:H40)</f>
        <v/>
      </c>
    </row>
    <row r="45" ht="15" customHeight="1" s="12">
      <c r="B45" s="11" t="inlineStr">
        <is>
          <t>2×FTP</t>
        </is>
      </c>
      <c r="H45" s="11">
        <f>SUMIF(E2:E40,"2×FTP",H2:H40)</f>
        <v/>
      </c>
    </row>
    <row r="46" ht="15" customHeight="1" s="12">
      <c r="B46" s="11" t="inlineStr">
        <is>
          <t>3×FTP</t>
        </is>
      </c>
      <c r="H46" s="11">
        <f>SUMIF(E2:E40,"3×FTP",H2:H40)</f>
        <v/>
      </c>
    </row>
    <row r="47" ht="15" customHeight="1" s="12">
      <c r="B47" s="11" t="inlineStr">
        <is>
          <t>FTP cat5e (control)</t>
        </is>
      </c>
      <c r="H47" s="11">
        <f>SUMIF(E2:E40,"FTP cat5e (control)",H2:H40)</f>
        <v/>
      </c>
    </row>
    <row r="48" ht="15" customHeight="1" s="12">
      <c r="B48" s="11" t="inlineStr">
        <is>
          <t>VVGng(A)-LS 3×1.5</t>
        </is>
      </c>
      <c r="H48" s="11">
        <f>SUMIF(E2:E40,"VVGng(A)-LS 3×1.5",H2:H40)</f>
        <v/>
      </c>
    </row>
    <row r="49" ht="15" customHeight="1" s="12">
      <c r="B49" s="11" t="inlineStr">
        <is>
          <t>VVGng(A)-LS 3×2.5</t>
        </is>
      </c>
      <c r="H49" s="11">
        <f>SUMIF(E2:E40,"VVGng(A)-LS 3×2.5",H2:H40)</f>
        <v/>
      </c>
    </row>
    <row r="50" ht="15" customHeight="1" s="12">
      <c r="B50" s="11" t="inlineStr">
        <is>
          <t>VVGng(A)-LS 5×1.5</t>
        </is>
      </c>
      <c r="H50" s="11">
        <f>SUMIF(E2:E40,"VVGng(A)-LS 5×1.5",H2:H40)</f>
        <v/>
      </c>
    </row>
    <row r="51" ht="15" customHeight="1" s="12">
      <c r="B51" s="11" t="inlineStr">
        <is>
          <t>twisted pair FTP cat5e</t>
        </is>
      </c>
      <c r="H51" s="11">
        <f>SUMIF(E2:E40,"twisted pair FTP cat5e",H2:H40)</f>
        <v/>
      </c>
    </row>
    <row r="52" ht="15" customHeight="1" s="12">
      <c r="B52" s="11" t="inlineStr">
        <is>
          <t>PVC pneumatic tube Ø6</t>
        </is>
      </c>
      <c r="H52" s="11">
        <f>SUMIF(E2:E40,"PVC pneumatic tube Ø6",H2:H40)</f>
        <v/>
      </c>
    </row>
    <row r="53" ht="15" customHeight="1" s="12">
      <c r="B53" s="21" t="inlineStr">
        <is>
          <t>Total conduit (route length)</t>
        </is>
      </c>
    </row>
    <row r="54" ht="15" customHeight="1" s="12">
      <c r="B54" s="11" t="inlineStr">
        <is>
          <t>Conduit Ø16</t>
        </is>
      </c>
      <c r="G54" s="11">
        <f>SUMIF(F2:F40,"Ø16",G2:G40)</f>
        <v/>
      </c>
    </row>
    <row r="55" ht="15" customHeight="1" s="12">
      <c r="B55" s="11" t="inlineStr">
        <is>
          <t>Conduit Ø20</t>
        </is>
      </c>
      <c r="G55" s="11">
        <f>SUMIF(F2:F40,"Ø20",G2:G40)</f>
        <v/>
      </c>
    </row>
    <row r="56" ht="15" customHeight="1" s="12">
      <c r="B56" s="11" t="inlineStr">
        <is>
          <t>Conduit Ø25</t>
        </is>
      </c>
      <c r="G56" s="11">
        <f>SUMIF(F2:F40,"Ø25",G2:G40)</f>
        <v/>
      </c>
    </row>
    <row r="57" ht="15" customHeight="1" s="12">
      <c r="B57" s="11" t="inlineStr">
        <is>
          <t>Conduit Ø32</t>
        </is>
      </c>
      <c r="G57" s="11">
        <f>SUMIF(F2:F40,"Ø32",G2:G40)</f>
        <v/>
      </c>
    </row>
    <row r="58" ht="15" customHeight="1" s="12">
      <c r="B58" s="11" t="inlineStr">
        <is>
          <t>+ incoming cable VVGng 5×6 in Ø32 within the room — 3.6 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1" min="1" max="1"/>
    <col width="7" customWidth="1" style="11" min="2" max="2"/>
    <col width="24" customWidth="1" style="11" min="3" max="3"/>
    <col width="16" customWidth="1" style="11" min="4" max="4"/>
    <col width="14" customWidth="1" style="11" min="5" max="5"/>
    <col width="10" customWidth="1" style="11" min="6" max="6"/>
    <col width="34" customWidth="1" style="11" min="7" max="7"/>
  </cols>
  <sheetData>
    <row r="1" ht="23.85" customHeight="1" s="12">
      <c r="A1" s="15" t="inlineStr">
        <is>
          <t>Circuit</t>
        </is>
      </c>
      <c r="B1" s="15" t="inlineStr">
        <is>
          <t>Phase</t>
        </is>
      </c>
      <c r="C1" s="15" t="inlineStr">
        <is>
          <t>Device</t>
        </is>
      </c>
      <c r="D1" s="15" t="inlineStr">
        <is>
          <t>Cable VVGng(A)-LS</t>
        </is>
      </c>
      <c r="E1" s="15" t="inlineStr">
        <is>
          <t>Length incl. allowance, m</t>
        </is>
      </c>
      <c r="F1" s="15" t="inlineStr">
        <is>
          <t>Pinst, kW</t>
        </is>
      </c>
      <c r="G1" s="15" t="inlineStr">
        <is>
          <t>Load</t>
        </is>
      </c>
    </row>
    <row r="2" ht="15" customHeight="1" s="12">
      <c r="A2" s="17" t="n">
        <v>1</v>
      </c>
      <c r="B2" s="17" t="inlineStr">
        <is>
          <t>L1</t>
        </is>
      </c>
      <c r="C2" s="17" t="inlineStr">
        <is>
          <t>QF6 6 A, C</t>
        </is>
      </c>
      <c r="D2" s="17" t="inlineStr">
        <is>
          <t>3×1.5</t>
        </is>
      </c>
      <c r="E2" s="17" t="n">
        <v>16</v>
      </c>
      <c r="F2" s="17" t="n">
        <v>0.05</v>
      </c>
      <c r="G2" s="17" t="inlineStr">
        <is>
          <t>Bathroom light, backlight (SW1)</t>
        </is>
      </c>
    </row>
    <row r="3" ht="15" customHeight="1" s="12">
      <c r="A3" s="17" t="n">
        <v>2</v>
      </c>
      <c r="B3" s="17" t="inlineStr">
        <is>
          <t>L1</t>
        </is>
      </c>
      <c r="C3" s="17" t="inlineStr">
        <is>
          <t>QF7 6 A, C</t>
        </is>
      </c>
      <c r="D3" s="17" t="inlineStr">
        <is>
          <t>5×1.5 / 3×1.5</t>
        </is>
      </c>
      <c r="E3" s="17" t="n">
        <v>11</v>
      </c>
      <c r="F3" s="17" t="n">
        <v>0.5</v>
      </c>
      <c r="G3" s="17" t="inlineStr">
        <is>
          <t>Room light: entry, loft, work (SW2)</t>
        </is>
      </c>
    </row>
    <row r="4" ht="15" customHeight="1" s="12">
      <c r="A4" s="17" t="n">
        <v>3</v>
      </c>
      <c r="B4" s="17" t="inlineStr">
        <is>
          <t>L1</t>
        </is>
      </c>
      <c r="C4" s="17" t="inlineStr">
        <is>
          <t>QFD2 RCBO 10 A, 30 mA</t>
        </is>
      </c>
      <c r="D4" s="17" t="inlineStr">
        <is>
          <t>3×2.5</t>
        </is>
      </c>
      <c r="E4" s="17" t="n">
        <v>6.3</v>
      </c>
      <c r="F4" s="17" t="n">
        <v>2</v>
      </c>
      <c r="G4" s="17" t="inlineStr">
        <is>
          <t>Bathroom socket, LPU</t>
        </is>
      </c>
    </row>
    <row r="5" ht="15" customHeight="1" s="12">
      <c r="A5" s="17" t="n">
        <v>4</v>
      </c>
      <c r="B5" s="17" t="inlineStr">
        <is>
          <t>L1</t>
        </is>
      </c>
      <c r="C5" s="17" t="inlineStr">
        <is>
          <t>QF9 10 A, C</t>
        </is>
      </c>
      <c r="D5" s="17" t="inlineStr">
        <is>
          <t>3×2.5</t>
        </is>
      </c>
      <c r="E5" s="17" t="n">
        <v>9.699999999999999</v>
      </c>
      <c r="F5" s="17" t="n">
        <v>1.5</v>
      </c>
      <c r="G5" s="17" t="inlineStr">
        <is>
          <t>CC: supply heater</t>
        </is>
      </c>
    </row>
    <row r="6" ht="15" customHeight="1" s="12">
      <c r="A6" s="17" t="n">
        <v>5</v>
      </c>
      <c r="B6" s="17" t="inlineStr">
        <is>
          <t>L1</t>
        </is>
      </c>
      <c r="C6" s="17" t="inlineStr">
        <is>
          <t>QF10 10 A, C</t>
        </is>
      </c>
      <c r="D6" s="17" t="inlineStr">
        <is>
          <t>3×2.5</t>
        </is>
      </c>
      <c r="E6" s="17" t="n">
        <v>9.699999999999999</v>
      </c>
      <c r="F6" s="17" t="n">
        <v>0.6</v>
      </c>
      <c r="G6" s="17" t="inlineStr">
        <is>
          <t>CC: fans, PC, UPS, 24 V</t>
        </is>
      </c>
    </row>
    <row r="7" ht="15" customHeight="1" s="12">
      <c r="A7" s="17" t="n">
        <v>6</v>
      </c>
      <c r="B7" s="17" t="inlineStr">
        <is>
          <t>L2</t>
        </is>
      </c>
      <c r="C7" s="17" t="inlineStr">
        <is>
          <t>QFD1 RCBO 16 A, 30 mA</t>
        </is>
      </c>
      <c r="D7" s="17" t="inlineStr">
        <is>
          <t>3×2.5</t>
        </is>
      </c>
      <c r="E7" s="17" t="n">
        <v>4</v>
      </c>
      <c r="F7" s="17" t="n">
        <v>2</v>
      </c>
      <c r="G7" s="17" t="inlineStr">
        <is>
          <t>Water heater 2 kW</t>
        </is>
      </c>
    </row>
    <row r="8" ht="15" customHeight="1" s="12">
      <c r="A8" s="17" t="n">
        <v>7</v>
      </c>
      <c r="B8" s="17" t="inlineStr">
        <is>
          <t>L2</t>
        </is>
      </c>
      <c r="C8" s="17" t="inlineStr">
        <is>
          <t>QF11 6 A, C</t>
        </is>
      </c>
      <c r="D8" s="17" t="inlineStr">
        <is>
          <t>3×2.5</t>
        </is>
      </c>
      <c r="E8" s="17" t="n">
        <v>7</v>
      </c>
      <c r="F8" s="17" t="n">
        <v>0.3</v>
      </c>
      <c r="G8" s="17" t="inlineStr">
        <is>
          <t>Fridge</t>
        </is>
      </c>
    </row>
    <row r="9" ht="15" customHeight="1" s="12">
      <c r="A9" s="17" t="n">
        <v>8</v>
      </c>
      <c r="B9" s="17" t="inlineStr">
        <is>
          <t>L2</t>
        </is>
      </c>
      <c r="C9" s="17" t="inlineStr">
        <is>
          <t>QFD3 RCBO 16 A, 30 mA</t>
        </is>
      </c>
      <c r="D9" s="17" t="inlineStr">
        <is>
          <t>3×2.5</t>
        </is>
      </c>
      <c r="E9" s="17" t="n">
        <v>7.3</v>
      </c>
      <c r="F9" s="17" t="n">
        <v>2.2</v>
      </c>
      <c r="G9" s="17" t="inlineStr">
        <is>
          <t>Kettle</t>
        </is>
      </c>
    </row>
    <row r="10" ht="15" customHeight="1" s="12">
      <c r="A10" s="17" t="n">
        <v>9</v>
      </c>
      <c r="B10" s="17" t="inlineStr">
        <is>
          <t>L3</t>
        </is>
      </c>
      <c r="C10" s="17" t="inlineStr">
        <is>
          <t>QFD4 RCBO 16 A, 30 mA</t>
        </is>
      </c>
      <c r="D10" s="17" t="inlineStr">
        <is>
          <t>3×2.5</t>
        </is>
      </c>
      <c r="E10" s="17" t="n">
        <v>13.9</v>
      </c>
      <c r="F10" s="17" t="n">
        <v>2</v>
      </c>
      <c r="G10" s="17" t="inlineStr">
        <is>
          <t>Sockets S4, S5</t>
        </is>
      </c>
    </row>
    <row r="11" ht="15" customHeight="1" s="12">
      <c r="A11" s="17" t="n">
        <v>10</v>
      </c>
      <c r="B11" s="17" t="inlineStr">
        <is>
          <t>L3</t>
        </is>
      </c>
      <c r="C11" s="17" t="inlineStr">
        <is>
          <t>QFD5 RCBO 16 A, 30 mA</t>
        </is>
      </c>
      <c r="D11" s="17" t="inlineStr">
        <is>
          <t>3×2.5</t>
        </is>
      </c>
      <c r="E11" s="17" t="n">
        <v>25.2</v>
      </c>
      <c r="F11" s="17" t="n">
        <v>2.5</v>
      </c>
      <c r="G11" s="17" t="inlineStr">
        <is>
          <t>Sockets S1, S2, S3</t>
        </is>
      </c>
    </row>
    <row r="12" ht="15" customHeight="1" s="12">
      <c r="A12" s="17" t="n">
        <v>11</v>
      </c>
      <c r="B12" s="17" t="inlineStr">
        <is>
          <t>L3</t>
        </is>
      </c>
      <c r="C12" s="17" t="inlineStr">
        <is>
          <t>QF15 10 A, C</t>
        </is>
      </c>
      <c r="D12" s="17" t="inlineStr">
        <is>
          <t>3×2.5</t>
        </is>
      </c>
      <c r="E12" s="17" t="n">
        <v>8.800000000000001</v>
      </c>
      <c r="F12" s="17" t="n">
        <v>1</v>
      </c>
      <c r="G12" s="17" t="inlineStr">
        <is>
          <t>A/C</t>
        </is>
      </c>
    </row>
    <row r="13" ht="15" customHeight="1" s="12">
      <c r="A13" s="17" t="n">
        <v>12</v>
      </c>
      <c r="B13" s="17" t="inlineStr">
        <is>
          <t>L3</t>
        </is>
      </c>
      <c r="C13" s="17" t="inlineStr">
        <is>
          <t>QFD6 RCBO 16 A, 30 mA</t>
        </is>
      </c>
      <c r="D13" s="17" t="inlineStr">
        <is>
          <t>3×2.5</t>
        </is>
      </c>
      <c r="E13" s="17" t="n">
        <v>1.1</v>
      </c>
      <c r="F13" s="17" t="n">
        <v>1</v>
      </c>
      <c r="G13" s="17" t="inlineStr">
        <is>
          <t>Socket under DB (spare)</t>
        </is>
      </c>
    </row>
    <row r="14" ht="15" customHeight="1" s="12">
      <c r="B14" s="11" t="inlineStr">
        <is>
          <t>L1</t>
        </is>
      </c>
      <c r="C14" s="11" t="inlineStr">
        <is>
          <t>Pinst per phase, kW</t>
        </is>
      </c>
      <c r="F14" s="11">
        <f>SUMIF(B2:B13,"L1",F2:F13)</f>
        <v/>
      </c>
    </row>
    <row r="15" ht="15" customHeight="1" s="12">
      <c r="B15" s="11" t="inlineStr">
        <is>
          <t>L2</t>
        </is>
      </c>
      <c r="C15" s="11" t="inlineStr">
        <is>
          <t>Pinst per phase, kW</t>
        </is>
      </c>
      <c r="F15" s="11">
        <f>SUMIF(B2:B13,"L2",F2:F13)</f>
        <v/>
      </c>
    </row>
    <row r="16" ht="15" customHeight="1" s="12">
      <c r="B16" s="11" t="inlineStr">
        <is>
          <t>L3</t>
        </is>
      </c>
      <c r="C16" s="11" t="inlineStr">
        <is>
          <t>Pinst per phase, kW</t>
        </is>
      </c>
      <c r="F16" s="11">
        <f>SUMIF(B2:B13,"L3",F2:F13)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1" min="1" max="1"/>
    <col width="44" customWidth="1" style="11" min="2" max="2"/>
    <col width="40" customWidth="1" style="11" min="3" max="3"/>
  </cols>
  <sheetData>
    <row r="1" ht="15" customHeight="1" s="12">
      <c r="A1" s="15" t="inlineStr">
        <is>
          <t>Channel</t>
        </is>
      </c>
      <c r="B1" s="15" t="inlineStr">
        <is>
          <t>Signal</t>
        </is>
      </c>
      <c r="C1" s="15" t="inlineStr">
        <is>
          <t>From / to</t>
        </is>
      </c>
    </row>
    <row r="2" ht="15" customHeight="1" s="12">
      <c r="A2" s="17" t="inlineStr">
        <is>
          <t>DI1</t>
        </is>
      </c>
      <c r="B2" s="17" t="inlineStr">
        <is>
          <t>“Entry” light on</t>
        </is>
      </c>
      <c r="C2" s="17" t="inlineStr">
        <is>
          <t>KL1 aux. contact (DB)</t>
        </is>
      </c>
    </row>
    <row r="3" ht="15" customHeight="1" s="12">
      <c r="A3" s="17" t="inlineStr">
        <is>
          <t>DI2</t>
        </is>
      </c>
      <c r="B3" s="17" t="inlineStr">
        <is>
          <t>“Loft” light on</t>
        </is>
      </c>
      <c r="C3" s="17" t="inlineStr">
        <is>
          <t>KL2 aux. contact</t>
        </is>
      </c>
    </row>
    <row r="4" ht="15" customHeight="1" s="12">
      <c r="A4" s="17" t="inlineStr">
        <is>
          <t>DI3</t>
        </is>
      </c>
      <c r="B4" s="17" t="inlineStr">
        <is>
          <t>“Work” light on</t>
        </is>
      </c>
      <c r="C4" s="17" t="inlineStr">
        <is>
          <t>KL3 aux. contact</t>
        </is>
      </c>
    </row>
    <row r="5" ht="15" customHeight="1" s="12">
      <c r="A5" s="17" t="inlineStr">
        <is>
          <t>DI4</t>
        </is>
      </c>
      <c r="B5" s="17" t="inlineStr">
        <is>
          <t>Air flow present</t>
        </is>
      </c>
      <c r="C5" s="17" t="inlineStr">
        <is>
          <t>K1</t>
        </is>
      </c>
    </row>
    <row r="6" ht="15" customHeight="1" s="12">
      <c r="A6" s="17" t="inlineStr">
        <is>
          <t>DI5</t>
        </is>
      </c>
      <c r="B6" s="17" t="inlineStr">
        <is>
          <t>Heater thermal prot. OK</t>
        </is>
      </c>
      <c r="C6" s="17" t="inlineStr">
        <is>
          <t>K2</t>
        </is>
      </c>
    </row>
    <row r="7" ht="15" customHeight="1" s="12">
      <c r="A7" s="17" t="inlineStr">
        <is>
          <t>DI6</t>
        </is>
      </c>
      <c r="B7" s="17" t="inlineStr">
        <is>
          <t>Fire</t>
        </is>
      </c>
      <c r="C7" s="17" t="inlineStr">
        <is>
          <t>BD1 / K3</t>
        </is>
      </c>
    </row>
    <row r="8" ht="15" customHeight="1" s="12">
      <c r="A8" s="17" t="inlineStr">
        <is>
          <t>DI7</t>
        </is>
      </c>
      <c r="B8" s="17" t="inlineStr">
        <is>
          <t>Heater contactor on</t>
        </is>
      </c>
      <c r="C8" s="17" t="inlineStr">
        <is>
          <t>KM1 aux. contact</t>
        </is>
      </c>
    </row>
    <row r="9" ht="15" customHeight="1" s="12">
      <c r="A9" s="17" t="inlineStr">
        <is>
          <t>DI8</t>
        </is>
      </c>
      <c r="B9" s="17" t="inlineStr">
        <is>
          <t>Filter clogged</t>
        </is>
      </c>
      <c r="C9" s="17" t="inlineStr">
        <is>
          <t>SP2 diff. press.</t>
        </is>
      </c>
    </row>
    <row r="10" ht="15" customHeight="1" s="12">
      <c r="A10" s="17" t="inlineStr">
        <is>
          <t>DI9</t>
        </is>
      </c>
      <c r="B10" s="17" t="inlineStr">
        <is>
          <t>Mains 230 V OK</t>
        </is>
      </c>
      <c r="C10" s="17" t="inlineStr">
        <is>
          <t>K4</t>
        </is>
      </c>
    </row>
    <row r="11" ht="15" customHeight="1" s="12">
      <c r="A11" s="17" t="inlineStr">
        <is>
          <t>DI10</t>
        </is>
      </c>
      <c r="B11" s="17" t="inlineStr">
        <is>
          <t>CC door button</t>
        </is>
      </c>
      <c r="C11" s="17" t="inlineStr">
        <is>
          <t>button on side panel</t>
        </is>
      </c>
    </row>
    <row r="12" ht="15" customHeight="1" s="12">
      <c r="A12" s="17" t="inlineStr">
        <is>
          <t>DI11</t>
        </is>
      </c>
      <c r="B12" s="17" t="inlineStr">
        <is>
          <t>CC door closed</t>
        </is>
      </c>
      <c r="C12" s="17" t="inlineStr">
        <is>
          <t>reed sw. SQ1</t>
        </is>
      </c>
    </row>
    <row r="13" ht="15" customHeight="1" s="12">
      <c r="A13" s="17" t="inlineStr">
        <is>
          <t>DI12–16</t>
        </is>
      </c>
      <c r="B13" s="17" t="inlineStr">
        <is>
          <t>Spare</t>
        </is>
      </c>
      <c r="C13" s="17" t="inlineStr">
        <is>
          <t>—</t>
        </is>
      </c>
    </row>
    <row r="14" ht="15" customHeight="1" s="12">
      <c r="A14" s="17" t="inlineStr">
        <is>
          <t>AI1–AI4</t>
        </is>
      </c>
      <c r="B14" s="17" t="inlineStr">
        <is>
          <t>Spare (temperatures now via RS-485)</t>
        </is>
      </c>
      <c r="C14" s="17" t="inlineStr">
        <is>
          <t>—</t>
        </is>
      </c>
    </row>
    <row r="15" ht="15" customHeight="1" s="12">
      <c r="A15" s="17" t="inlineStr">
        <is>
          <t>AO1</t>
        </is>
      </c>
      <c r="B15" s="17" t="inlineStr">
        <is>
          <t>Heater power 0–10 V</t>
        </is>
      </c>
      <c r="C15" s="17" t="inlineStr">
        <is>
          <t>U1 controller</t>
        </is>
      </c>
    </row>
    <row r="16" ht="15" customHeight="1" s="12">
      <c r="A16" s="17" t="inlineStr">
        <is>
          <t>AO2</t>
        </is>
      </c>
      <c r="B16" s="17" t="inlineStr">
        <is>
          <t>Spare</t>
        </is>
      </c>
      <c r="C16" s="17" t="inlineStr">
        <is>
          <t>—</t>
        </is>
      </c>
    </row>
    <row r="17" ht="15" customHeight="1" s="12">
      <c r="A17" s="17" t="inlineStr">
        <is>
          <t>DO1–DO3</t>
        </is>
      </c>
      <c r="B17" s="17" t="inlineStr">
        <is>
          <t>“Press” light: entry / loft / work</t>
        </is>
      </c>
      <c r="C17" s="17" t="inlineStr">
        <is>
          <t>KV1–KV3 (DB)</t>
        </is>
      </c>
    </row>
    <row r="18" ht="15" customHeight="1" s="12">
      <c r="A18" s="17" t="inlineStr">
        <is>
          <t>DO4</t>
        </is>
      </c>
      <c r="B18" s="17" t="inlineStr">
        <is>
          <t>Heater enable</t>
        </is>
      </c>
      <c r="C18" s="17" t="inlineStr">
        <is>
          <t>KM1 circuit</t>
        </is>
      </c>
    </row>
    <row r="19" ht="15" customHeight="1" s="12">
      <c r="A19" s="17" t="inlineStr">
        <is>
          <t>DO5</t>
        </is>
      </c>
      <c r="B19" s="17" t="inlineStr">
        <is>
          <t>Supply fan</t>
        </is>
      </c>
      <c r="C19" s="17" t="inlineStr">
        <is>
          <t>M3</t>
        </is>
      </c>
    </row>
    <row r="20" ht="15" customHeight="1" s="12">
      <c r="A20" s="17" t="inlineStr">
        <is>
          <t>DO6</t>
        </is>
      </c>
      <c r="B20" s="17" t="inlineStr">
        <is>
          <t>Bathroom exhaust</t>
        </is>
      </c>
      <c r="C20" s="17" t="inlineStr">
        <is>
          <t>M1</t>
        </is>
      </c>
    </row>
    <row r="21" ht="15" customHeight="1" s="12">
      <c r="A21" s="17" t="inlineStr">
        <is>
          <t>DO7</t>
        </is>
      </c>
      <c r="B21" s="17" t="inlineStr">
        <is>
          <t>Room exhaust</t>
        </is>
      </c>
      <c r="C21" s="17" t="inlineStr">
        <is>
          <t>M2</t>
        </is>
      </c>
    </row>
    <row r="22" ht="15" customHeight="1" s="12">
      <c r="A22" s="17" t="inlineStr">
        <is>
          <t>DO8</t>
        </is>
      </c>
      <c r="B22" s="17" t="inlineStr">
        <is>
          <t>Cabinet fans 24 V</t>
        </is>
      </c>
      <c r="C22" s="17" t="inlineStr">
        <is>
          <t>M4, M5</t>
        </is>
      </c>
    </row>
    <row r="23" ht="15" customHeight="1" s="12">
      <c r="A23" s="17" t="inlineStr">
        <is>
          <t>DO9</t>
        </is>
      </c>
      <c r="B23" s="17" t="inlineStr">
        <is>
          <t>Smoke detector reset</t>
        </is>
      </c>
      <c r="C23" s="17" t="inlineStr">
        <is>
          <t>BD1 power</t>
        </is>
      </c>
    </row>
    <row r="24" ht="15" customHeight="1" s="12">
      <c r="A24" s="17" t="inlineStr">
        <is>
          <t>DO10–DO11</t>
        </is>
      </c>
      <c r="B24" s="17" t="inlineStr">
        <is>
          <t>Computer Power / Reset buttons</t>
        </is>
      </c>
      <c r="C24" s="17" t="inlineStr">
        <is>
          <t>PC mobo</t>
        </is>
      </c>
    </row>
    <row r="25" ht="15" customHeight="1" s="12">
      <c r="A25" s="17" t="inlineStr">
        <is>
          <t>DO12</t>
        </is>
      </c>
      <c r="B25" s="17" t="inlineStr">
        <is>
          <t>Cabinet blue backlight</t>
        </is>
      </c>
      <c r="C25" s="17" t="inlineStr">
        <is>
          <t>24 V strip</t>
        </is>
      </c>
    </row>
    <row r="26" ht="15" customHeight="1" s="12">
      <c r="A26" s="17" t="inlineStr">
        <is>
          <t>DO13</t>
        </is>
      </c>
      <c r="B26" s="17" t="inlineStr">
        <is>
          <t>CC door: open</t>
        </is>
      </c>
      <c r="C26" s="17" t="inlineStr">
        <is>
          <t>reverse relay → drive</t>
        </is>
      </c>
    </row>
    <row r="27" ht="15" customHeight="1" s="12">
      <c r="A27" s="17" t="inlineStr">
        <is>
          <t>DO14</t>
        </is>
      </c>
      <c r="B27" s="17" t="inlineStr">
        <is>
          <t>CC door: close</t>
        </is>
      </c>
      <c r="C27" s="17" t="inlineStr">
        <is>
          <t>reverse relay → drive</t>
        </is>
      </c>
    </row>
    <row r="28" ht="15" customHeight="1" s="12">
      <c r="A28" s="17" t="inlineStr">
        <is>
          <t>DO15–16</t>
        </is>
      </c>
      <c r="B28" s="17" t="inlineStr">
        <is>
          <t>Spare</t>
        </is>
      </c>
      <c r="C28" s="17" t="inlineStr">
        <is>
          <t>—</t>
        </is>
      </c>
    </row>
    <row r="29" ht="15" customHeight="1" s="12">
      <c r="A29" s="17" t="inlineStr">
        <is>
          <t>RS-485 №1</t>
        </is>
      </c>
      <c r="B29" s="17" t="inlineStr">
        <is>
          <t>Sensor bus, PR200 is master</t>
        </is>
      </c>
      <c r="C29" s="17" t="inlineStr">
        <is>
          <t>4 iArduino sensors + R4DCB08</t>
        </is>
      </c>
    </row>
    <row r="30" ht="15" customHeight="1" s="12">
      <c r="A30" s="17" t="inlineStr">
        <is>
          <t>RS-485 №2</t>
        </is>
      </c>
      <c r="B30" s="17" t="inlineStr">
        <is>
          <t>Link to computer, PR200 is slave</t>
        </is>
      </c>
      <c r="C30" s="17" t="inlineStr">
        <is>
          <t>USB–RS-485 in PC</t>
        </is>
      </c>
    </row>
    <row r="31" ht="15" customHeight="1" s="12">
      <c r="A31" s="17" t="inlineStr">
        <is>
          <t>PC (not PR200)</t>
        </is>
      </c>
      <c r="B31" s="17" t="inlineStr">
        <is>
          <t>A/C, cameras CAM1–CAM2</t>
        </is>
      </c>
      <c r="C31" s="17" t="inlineStr">
        <is>
          <t>Midea Wi-Fi (local), PoE switch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2026-10-03T04:08:51Z</dcterms:created>
  <dcterms:modified xmlns:dcterms="http://purl.org/dc/terms/" xmlns:xsi="http://www.w3.org/2001/XMLSchema-instance" xsi:type="dcterms:W3CDTF">2026-10-03T05:51:33Z</dcterms:modified>
  <cp:revision>0</cp:revision>
</cp:coreProperties>
</file>